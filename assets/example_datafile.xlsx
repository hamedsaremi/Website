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hamed/Box Sync/Meta-Analysis Workshop/Workshop/"/>
    </mc:Choice>
  </mc:AlternateContent>
  <bookViews>
    <workbookView xWindow="0" yWindow="460" windowWidth="38400" windowHeight="20280" tabRatio="500"/>
  </bookViews>
  <sheets>
    <sheet name="Example_Data" sheetId="4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6" i="4" l="1"/>
  <c r="F16" i="4"/>
  <c r="G16" i="4"/>
  <c r="H15" i="4"/>
  <c r="F15" i="4"/>
  <c r="G15" i="4"/>
  <c r="H14" i="4"/>
  <c r="F14" i="4"/>
  <c r="G14" i="4"/>
  <c r="H13" i="4"/>
  <c r="F13" i="4"/>
  <c r="G13" i="4"/>
  <c r="H12" i="4"/>
  <c r="F12" i="4"/>
  <c r="G12" i="4"/>
  <c r="H11" i="4"/>
  <c r="F11" i="4"/>
  <c r="G11" i="4"/>
  <c r="H10" i="4"/>
  <c r="F10" i="4"/>
  <c r="G10" i="4"/>
  <c r="H9" i="4"/>
  <c r="F9" i="4"/>
  <c r="G9" i="4"/>
  <c r="H8" i="4"/>
  <c r="F8" i="4"/>
  <c r="G8" i="4"/>
  <c r="H7" i="4"/>
  <c r="F7" i="4"/>
  <c r="G7" i="4"/>
  <c r="H6" i="4"/>
  <c r="F6" i="4"/>
  <c r="G6" i="4"/>
  <c r="H5" i="4"/>
  <c r="F5" i="4"/>
  <c r="G5" i="4"/>
  <c r="H4" i="4"/>
  <c r="F4" i="4"/>
  <c r="G4" i="4"/>
  <c r="H3" i="4"/>
  <c r="F3" i="4"/>
  <c r="G3" i="4"/>
  <c r="H2" i="4"/>
  <c r="F2" i="4"/>
  <c r="G2" i="4"/>
</calcChain>
</file>

<file path=xl/sharedStrings.xml><?xml version="1.0" encoding="utf-8"?>
<sst xmlns="http://schemas.openxmlformats.org/spreadsheetml/2006/main" count="11" uniqueCount="11">
  <si>
    <t>Study</t>
  </si>
  <si>
    <t>n</t>
  </si>
  <si>
    <t>r</t>
  </si>
  <si>
    <t>Adoption</t>
  </si>
  <si>
    <t>Gender</t>
  </si>
  <si>
    <t>Female_Perc</t>
  </si>
  <si>
    <t>r_original</t>
  </si>
  <si>
    <t>AlphaX</t>
  </si>
  <si>
    <t>AlphaY</t>
  </si>
  <si>
    <t>ESz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</si>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</sst>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rgb="FF000000"/>
      <name val="Times New Roman"/>
    </font>
    <font>
      <sz val="14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7"/>
  <colors>
    <mruColors>
      <color rgb="FFFFFDD7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="120" zoomScaleNormal="120" zoomScalePageLayoutView="120" workbookViewId="0">
      <selection activeCell="D26" sqref="D26"/>
    </sheetView>
  </sheetViews>
  <sheetFormatPr baseColWidth="10" defaultRowHeight="16" x14ac:dyDescent="0.2"/>
  <cols>
    <col min="3" max="3" width="12.1640625" customWidth="1"/>
    <col min="6" max="6" width="10.83203125" customWidth="1"/>
    <col min="11" max="11" width="14.33203125" bestFit="1" customWidth="1"/>
  </cols>
  <sheetData>
    <row r="1" spans="1:11" ht="36" x14ac:dyDescent="0.2">
      <c r="A1" s="4" t="s">
        <v>0</v>
      </c>
      <c r="B1" s="4" t="s">
        <v>1</v>
      </c>
      <c r="C1" s="4" t="s">
        <v>6</v>
      </c>
      <c r="D1" s="4" t="s">
        <v>7</v>
      </c>
      <c r="E1" s="4" t="s">
        <v>8</v>
      </c>
      <c r="F1" s="3" t="s">
        <v>2</v>
      </c>
      <c r="G1" s="3" t="s">
        <v>9</v>
      </c>
      <c r="H1" s="3" t="s">
        <v>10</v>
      </c>
      <c r="I1" s="5" t="s">
        <v>3</v>
      </c>
      <c r="J1" s="5" t="s">
        <v>4</v>
      </c>
      <c r="K1" s="5" t="s">
        <v>5</v>
      </c>
    </row>
    <row r="2" spans="1:11" ht="18" x14ac:dyDescent="0.2">
      <c r="A2" s="1">
        <v>1</v>
      </c>
      <c r="B2" s="1">
        <v>99</v>
      </c>
      <c r="C2" s="2">
        <v>0.45</v>
      </c>
      <c r="D2" s="2">
        <v>0.93</v>
      </c>
      <c r="E2" s="2">
        <v>0.91</v>
      </c>
      <c r="F2" s="2">
        <f>C2/((D2*E2)^0.5)</f>
        <v>0.48915933209955009</v>
      </c>
      <c r="G2" s="2">
        <f>0.5*LN((1+F2)/(1-F2))</f>
        <v>0.53495464799398462</v>
      </c>
      <c r="H2" s="1">
        <f>B2-3</f>
        <v>96</v>
      </c>
      <c r="I2" s="6">
        <v>0</v>
      </c>
      <c r="J2" s="6">
        <v>3</v>
      </c>
      <c r="K2" s="7">
        <v>0.3</v>
      </c>
    </row>
    <row r="3" spans="1:11" ht="18" x14ac:dyDescent="0.2">
      <c r="A3" s="6">
        <v>2</v>
      </c>
      <c r="B3" s="6">
        <v>200</v>
      </c>
      <c r="C3" s="7">
        <v>0.68</v>
      </c>
      <c r="D3" s="7">
        <v>1</v>
      </c>
      <c r="E3" s="7">
        <v>0.76</v>
      </c>
      <c r="F3" s="2">
        <f t="shared" ref="F3:F16" si="0">C3/((D3*E3)^0.5)</f>
        <v>0.78001349515991014</v>
      </c>
      <c r="G3" s="2">
        <f t="shared" ref="G3:G16" si="1">0.5*LN((1+F3)/(1-F3))</f>
        <v>1.0454050109864856</v>
      </c>
      <c r="H3" s="1">
        <f t="shared" ref="H3:H16" si="2">B3-3</f>
        <v>197</v>
      </c>
      <c r="I3" s="6">
        <v>1</v>
      </c>
      <c r="J3" s="6">
        <v>1</v>
      </c>
      <c r="K3" s="7">
        <v>0</v>
      </c>
    </row>
    <row r="4" spans="1:11" ht="18" x14ac:dyDescent="0.2">
      <c r="A4" s="6">
        <v>3</v>
      </c>
      <c r="B4" s="6">
        <v>112</v>
      </c>
      <c r="C4" s="7">
        <v>0.46</v>
      </c>
      <c r="D4" s="7">
        <v>0.89</v>
      </c>
      <c r="E4" s="7">
        <v>0.89</v>
      </c>
      <c r="F4" s="2">
        <f t="shared" si="0"/>
        <v>0.5168539325842697</v>
      </c>
      <c r="G4" s="2">
        <f t="shared" si="1"/>
        <v>0.57203733137243351</v>
      </c>
      <c r="H4" s="1">
        <f t="shared" si="2"/>
        <v>109</v>
      </c>
      <c r="I4" s="6">
        <v>0</v>
      </c>
      <c r="J4" s="6">
        <v>3</v>
      </c>
      <c r="K4" s="7">
        <v>0.55000000000000004</v>
      </c>
    </row>
    <row r="5" spans="1:11" ht="18" x14ac:dyDescent="0.2">
      <c r="A5" s="6">
        <v>4</v>
      </c>
      <c r="B5" s="6">
        <v>98</v>
      </c>
      <c r="C5" s="7">
        <v>0.57999999999999996</v>
      </c>
      <c r="D5" s="7">
        <v>0.89</v>
      </c>
      <c r="E5" s="7">
        <v>0.96</v>
      </c>
      <c r="F5" s="2">
        <f t="shared" si="0"/>
        <v>0.62747636749147739</v>
      </c>
      <c r="G5" s="2">
        <f t="shared" si="1"/>
        <v>0.73724268722582009</v>
      </c>
      <c r="H5" s="1">
        <f t="shared" si="2"/>
        <v>95</v>
      </c>
      <c r="I5" s="6">
        <v>1</v>
      </c>
      <c r="J5" s="6">
        <v>3</v>
      </c>
      <c r="K5" s="7">
        <v>0.45</v>
      </c>
    </row>
    <row r="6" spans="1:11" ht="18" x14ac:dyDescent="0.2">
      <c r="A6" s="6">
        <v>5</v>
      </c>
      <c r="B6" s="6">
        <v>104</v>
      </c>
      <c r="C6" s="7">
        <v>0.49</v>
      </c>
      <c r="D6" s="7">
        <v>0.74</v>
      </c>
      <c r="E6" s="7">
        <v>0.88</v>
      </c>
      <c r="F6" s="2">
        <f t="shared" si="0"/>
        <v>0.60720995644334685</v>
      </c>
      <c r="G6" s="2">
        <f t="shared" si="1"/>
        <v>0.70448988979168981</v>
      </c>
      <c r="H6" s="1">
        <f t="shared" si="2"/>
        <v>101</v>
      </c>
      <c r="I6" s="6">
        <v>0</v>
      </c>
      <c r="J6" s="6">
        <v>3</v>
      </c>
      <c r="K6" s="7">
        <v>0.4</v>
      </c>
    </row>
    <row r="7" spans="1:11" ht="18" x14ac:dyDescent="0.2">
      <c r="A7" s="6">
        <v>6</v>
      </c>
      <c r="B7" s="6">
        <v>300</v>
      </c>
      <c r="C7" s="7">
        <v>0.2</v>
      </c>
      <c r="D7" s="7">
        <v>0.9</v>
      </c>
      <c r="E7" s="7">
        <v>0.89</v>
      </c>
      <c r="F7" s="2">
        <f t="shared" si="0"/>
        <v>0.22346717438466362</v>
      </c>
      <c r="G7" s="2">
        <f t="shared" si="1"/>
        <v>0.2273025688711611</v>
      </c>
      <c r="H7" s="1">
        <f t="shared" si="2"/>
        <v>297</v>
      </c>
      <c r="I7" s="6">
        <v>0</v>
      </c>
      <c r="J7" s="6">
        <v>2</v>
      </c>
      <c r="K7" s="7">
        <v>1</v>
      </c>
    </row>
    <row r="8" spans="1:11" ht="18" x14ac:dyDescent="0.2">
      <c r="A8" s="6">
        <v>7</v>
      </c>
      <c r="B8" s="6">
        <v>400</v>
      </c>
      <c r="C8" s="7">
        <v>0.64</v>
      </c>
      <c r="D8" s="7">
        <v>0.8</v>
      </c>
      <c r="E8" s="7">
        <v>0.93</v>
      </c>
      <c r="F8" s="2">
        <f t="shared" si="0"/>
        <v>0.74198223321626922</v>
      </c>
      <c r="G8" s="2">
        <f t="shared" si="1"/>
        <v>0.95487525611739665</v>
      </c>
      <c r="H8" s="1">
        <f t="shared" si="2"/>
        <v>397</v>
      </c>
      <c r="I8" s="6">
        <v>1</v>
      </c>
      <c r="J8" s="6">
        <v>3</v>
      </c>
      <c r="K8" s="7">
        <v>0.2</v>
      </c>
    </row>
    <row r="9" spans="1:11" ht="18" x14ac:dyDescent="0.2">
      <c r="A9" s="6">
        <v>8</v>
      </c>
      <c r="B9" s="6">
        <v>100</v>
      </c>
      <c r="C9" s="7">
        <v>-0.1</v>
      </c>
      <c r="D9" s="7">
        <v>0.7</v>
      </c>
      <c r="E9" s="7">
        <v>0.76</v>
      </c>
      <c r="F9" s="2">
        <f t="shared" si="0"/>
        <v>-0.13710212427677046</v>
      </c>
      <c r="G9" s="2">
        <f t="shared" si="1"/>
        <v>-0.13797098052929282</v>
      </c>
      <c r="H9" s="1">
        <f t="shared" si="2"/>
        <v>97</v>
      </c>
      <c r="I9" s="6">
        <v>0</v>
      </c>
      <c r="J9" s="6">
        <v>2</v>
      </c>
      <c r="K9" s="7">
        <v>1</v>
      </c>
    </row>
    <row r="10" spans="1:11" ht="18" x14ac:dyDescent="0.2">
      <c r="A10" s="6">
        <v>9</v>
      </c>
      <c r="B10" s="6">
        <v>50</v>
      </c>
      <c r="C10" s="7">
        <v>-0.06</v>
      </c>
      <c r="D10" s="7">
        <v>0.65</v>
      </c>
      <c r="E10" s="7">
        <v>0.71</v>
      </c>
      <c r="F10" s="2">
        <f t="shared" si="0"/>
        <v>-8.8321288793649186E-2</v>
      </c>
      <c r="G10" s="2">
        <f t="shared" si="1"/>
        <v>-8.8552024180611796E-2</v>
      </c>
      <c r="H10" s="1">
        <f t="shared" si="2"/>
        <v>47</v>
      </c>
      <c r="I10" s="6">
        <v>0</v>
      </c>
      <c r="J10" s="6">
        <v>3</v>
      </c>
      <c r="K10" s="7">
        <v>0.8</v>
      </c>
    </row>
    <row r="11" spans="1:11" ht="18" x14ac:dyDescent="0.2">
      <c r="A11" s="6">
        <v>10</v>
      </c>
      <c r="B11" s="6">
        <v>550</v>
      </c>
      <c r="C11" s="7">
        <v>0.4</v>
      </c>
      <c r="D11" s="7">
        <v>0.77</v>
      </c>
      <c r="E11" s="7">
        <v>0.67</v>
      </c>
      <c r="F11" s="2">
        <f t="shared" si="0"/>
        <v>0.55690001218392815</v>
      </c>
      <c r="G11" s="2">
        <f t="shared" si="1"/>
        <v>0.62832825040648188</v>
      </c>
      <c r="H11" s="1">
        <f t="shared" si="2"/>
        <v>547</v>
      </c>
      <c r="I11" s="6">
        <v>0</v>
      </c>
      <c r="J11" s="6">
        <v>3</v>
      </c>
      <c r="K11" s="7">
        <v>0.52</v>
      </c>
    </row>
    <row r="12" spans="1:11" ht="18" x14ac:dyDescent="0.2">
      <c r="A12" s="6">
        <v>11</v>
      </c>
      <c r="B12" s="6">
        <v>250</v>
      </c>
      <c r="C12" s="7">
        <v>0.56000000000000005</v>
      </c>
      <c r="D12" s="7">
        <v>0.88</v>
      </c>
      <c r="E12" s="7">
        <v>0.98</v>
      </c>
      <c r="F12" s="2">
        <f t="shared" si="0"/>
        <v>0.60302268915552726</v>
      </c>
      <c r="G12" s="2">
        <f t="shared" si="1"/>
        <v>0.69788358958188623</v>
      </c>
      <c r="H12" s="1">
        <f t="shared" si="2"/>
        <v>247</v>
      </c>
      <c r="I12" s="6">
        <v>1</v>
      </c>
      <c r="J12" s="6">
        <v>3</v>
      </c>
      <c r="K12" s="7">
        <v>0.48</v>
      </c>
    </row>
    <row r="13" spans="1:11" ht="18" x14ac:dyDescent="0.2">
      <c r="A13" s="6">
        <v>12</v>
      </c>
      <c r="B13" s="6">
        <v>130</v>
      </c>
      <c r="C13" s="7">
        <v>0.6</v>
      </c>
      <c r="D13" s="7">
        <v>0.92</v>
      </c>
      <c r="E13" s="7">
        <v>1</v>
      </c>
      <c r="F13" s="2">
        <f t="shared" si="0"/>
        <v>0.62554324217122426</v>
      </c>
      <c r="G13" s="2">
        <f t="shared" si="1"/>
        <v>0.73406050594649053</v>
      </c>
      <c r="H13" s="1">
        <f t="shared" si="2"/>
        <v>127</v>
      </c>
      <c r="I13" s="6">
        <v>1</v>
      </c>
      <c r="J13" s="6">
        <v>3</v>
      </c>
      <c r="K13" s="7">
        <v>0.5</v>
      </c>
    </row>
    <row r="14" spans="1:11" ht="18" x14ac:dyDescent="0.2">
      <c r="A14" s="6">
        <v>13</v>
      </c>
      <c r="B14" s="6">
        <v>210</v>
      </c>
      <c r="C14" s="7">
        <v>0.52</v>
      </c>
      <c r="D14" s="7">
        <v>0.95</v>
      </c>
      <c r="E14" s="7">
        <v>0.94</v>
      </c>
      <c r="F14" s="2">
        <f t="shared" si="0"/>
        <v>0.55027225268195068</v>
      </c>
      <c r="G14" s="2">
        <f t="shared" si="1"/>
        <v>0.61877172383312284</v>
      </c>
      <c r="H14" s="1">
        <f t="shared" si="2"/>
        <v>207</v>
      </c>
      <c r="I14" s="6">
        <v>1</v>
      </c>
      <c r="J14" s="6">
        <v>3</v>
      </c>
      <c r="K14" s="7">
        <v>0.44</v>
      </c>
    </row>
    <row r="15" spans="1:11" ht="18" x14ac:dyDescent="0.2">
      <c r="A15" s="6">
        <v>14</v>
      </c>
      <c r="B15" s="6">
        <v>100</v>
      </c>
      <c r="C15" s="7">
        <v>-0.05</v>
      </c>
      <c r="D15" s="7">
        <v>1</v>
      </c>
      <c r="E15" s="7">
        <v>0.83</v>
      </c>
      <c r="F15" s="2">
        <f t="shared" si="0"/>
        <v>-5.4882129994845173E-2</v>
      </c>
      <c r="G15" s="2">
        <f t="shared" si="1"/>
        <v>-5.4937332332656678E-2</v>
      </c>
      <c r="H15" s="1">
        <f t="shared" si="2"/>
        <v>97</v>
      </c>
      <c r="I15" s="6">
        <v>0</v>
      </c>
      <c r="J15" s="6">
        <v>3</v>
      </c>
      <c r="K15" s="7">
        <v>0.75</v>
      </c>
    </row>
    <row r="16" spans="1:11" ht="18" x14ac:dyDescent="0.2">
      <c r="A16" s="6">
        <v>15</v>
      </c>
      <c r="B16" s="6">
        <v>230</v>
      </c>
      <c r="C16" s="7">
        <v>0.6</v>
      </c>
      <c r="D16" s="7">
        <v>1</v>
      </c>
      <c r="E16" s="7">
        <v>1</v>
      </c>
      <c r="F16" s="2">
        <f t="shared" si="0"/>
        <v>0.6</v>
      </c>
      <c r="G16" s="2">
        <f t="shared" si="1"/>
        <v>0.69314718055994529</v>
      </c>
      <c r="H16" s="1">
        <f t="shared" si="2"/>
        <v>227</v>
      </c>
      <c r="I16" s="6">
        <v>1</v>
      </c>
      <c r="J16" s="6">
        <v>1</v>
      </c>
      <c r="K16" s="7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2017-08-04T15:53:07Z</dcterms:created>
  <dcterms:modified xsi:type="dcterms:W3CDTF">2017-08-07T00:24:34Z</dcterms:modified>
</cp:coreProperties>
</file>