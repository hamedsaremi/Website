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hamed/Box Sync/Meta-Analysis Workshop/Workshop/"/>
    </mc:Choice>
  </mc:AlternateContent>
  <bookViews>
    <workbookView xWindow="0" yWindow="460" windowWidth="38400" windowHeight="20280" tabRatio="500" activeTab="3"/>
  </bookViews>
  <sheets>
    <sheet name="Hunter &amp; Schmidt" sheetId="1" r:id="rId1"/>
    <sheet name="Hedge and Colleagues (2)" sheetId="3" r:id="rId2"/>
    <sheet name="Sheet1" sheetId="4" r:id="rId3"/>
    <sheet name="Sheet1 (2)" sheetId="5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5" l="1"/>
  <c r="C21" i="5"/>
  <c r="C20" i="5"/>
  <c r="C24" i="5"/>
  <c r="J2" i="5"/>
  <c r="K2" i="5"/>
  <c r="J3" i="5"/>
  <c r="K3" i="5"/>
  <c r="J4" i="5"/>
  <c r="K4" i="5"/>
  <c r="J5" i="5"/>
  <c r="K5" i="5"/>
  <c r="J6" i="5"/>
  <c r="K6" i="5"/>
  <c r="J7" i="5"/>
  <c r="K7" i="5"/>
  <c r="J8" i="5"/>
  <c r="K8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K17" i="5"/>
  <c r="J17" i="5"/>
  <c r="C25" i="5"/>
  <c r="C26" i="5"/>
  <c r="C29" i="5"/>
  <c r="C2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C30" i="5"/>
  <c r="H2" i="5"/>
  <c r="G2" i="5"/>
  <c r="I2" i="5"/>
  <c r="H3" i="5"/>
  <c r="G3" i="5"/>
  <c r="I3" i="5"/>
  <c r="H4" i="5"/>
  <c r="G4" i="5"/>
  <c r="I4" i="5"/>
  <c r="H5" i="5"/>
  <c r="G5" i="5"/>
  <c r="I5" i="5"/>
  <c r="H6" i="5"/>
  <c r="G6" i="5"/>
  <c r="I6" i="5"/>
  <c r="H7" i="5"/>
  <c r="G7" i="5"/>
  <c r="I7" i="5"/>
  <c r="H8" i="5"/>
  <c r="G8" i="5"/>
  <c r="I8" i="5"/>
  <c r="H9" i="5"/>
  <c r="G9" i="5"/>
  <c r="I9" i="5"/>
  <c r="H10" i="5"/>
  <c r="G10" i="5"/>
  <c r="I10" i="5"/>
  <c r="H11" i="5"/>
  <c r="G11" i="5"/>
  <c r="I11" i="5"/>
  <c r="H12" i="5"/>
  <c r="G12" i="5"/>
  <c r="I12" i="5"/>
  <c r="H13" i="5"/>
  <c r="G13" i="5"/>
  <c r="I13" i="5"/>
  <c r="H14" i="5"/>
  <c r="G14" i="5"/>
  <c r="I14" i="5"/>
  <c r="H15" i="5"/>
  <c r="G15" i="5"/>
  <c r="I15" i="5"/>
  <c r="H16" i="5"/>
  <c r="G16" i="5"/>
  <c r="I16" i="5"/>
  <c r="I17" i="5"/>
  <c r="H17" i="5"/>
  <c r="C19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C23" i="5"/>
  <c r="C28" i="5"/>
  <c r="F2" i="4"/>
  <c r="F3" i="3"/>
  <c r="N3" i="3"/>
  <c r="F4" i="3"/>
  <c r="N4" i="3"/>
  <c r="F5" i="3"/>
  <c r="N5" i="3"/>
  <c r="F6" i="3"/>
  <c r="N6" i="3"/>
  <c r="F7" i="3"/>
  <c r="N7" i="3"/>
  <c r="F8" i="3"/>
  <c r="N8" i="3"/>
  <c r="F9" i="3"/>
  <c r="N9" i="3"/>
  <c r="F10" i="3"/>
  <c r="N10" i="3"/>
  <c r="F11" i="3"/>
  <c r="N11" i="3"/>
  <c r="F12" i="3"/>
  <c r="N12" i="3"/>
  <c r="F13" i="3"/>
  <c r="N13" i="3"/>
  <c r="F14" i="3"/>
  <c r="N14" i="3"/>
  <c r="F15" i="3"/>
  <c r="N15" i="3"/>
  <c r="F16" i="3"/>
  <c r="N16" i="3"/>
  <c r="F17" i="3"/>
  <c r="N17" i="3"/>
  <c r="N1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9" i="3"/>
  <c r="N20" i="3"/>
  <c r="B19" i="3"/>
  <c r="N21" i="3"/>
  <c r="B24" i="3"/>
  <c r="B25" i="3"/>
  <c r="B26" i="3"/>
  <c r="F1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B21" i="3"/>
  <c r="B20" i="3"/>
  <c r="B22" i="3"/>
  <c r="B2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H19" i="3"/>
  <c r="G19" i="3"/>
  <c r="C19" i="3"/>
  <c r="F3" i="1"/>
  <c r="O3" i="1"/>
  <c r="F4" i="1"/>
  <c r="O4" i="1"/>
  <c r="F5" i="1"/>
  <c r="O5" i="1"/>
  <c r="O19" i="1"/>
  <c r="M3" i="1"/>
  <c r="M4" i="1"/>
  <c r="M5" i="1"/>
  <c r="M19" i="1"/>
  <c r="O20" i="1"/>
  <c r="O21" i="1"/>
  <c r="B24" i="1"/>
  <c r="B25" i="1"/>
  <c r="B26" i="1"/>
  <c r="F1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9" i="1"/>
  <c r="O6" i="1"/>
  <c r="O7" i="1"/>
  <c r="O8" i="1"/>
  <c r="O9" i="1"/>
  <c r="O10" i="1"/>
  <c r="O11" i="1"/>
  <c r="O12" i="1"/>
  <c r="O13" i="1"/>
  <c r="O14" i="1"/>
  <c r="O15" i="1"/>
  <c r="O16" i="1"/>
  <c r="O17" i="1"/>
  <c r="F6" i="1"/>
  <c r="M6" i="1"/>
  <c r="F7" i="1"/>
  <c r="M7" i="1"/>
  <c r="F8" i="1"/>
  <c r="M8" i="1"/>
  <c r="F9" i="1"/>
  <c r="M9" i="1"/>
  <c r="F10" i="1"/>
  <c r="M10" i="1"/>
  <c r="F11" i="1"/>
  <c r="M11" i="1"/>
  <c r="F12" i="1"/>
  <c r="M12" i="1"/>
  <c r="F13" i="1"/>
  <c r="M13" i="1"/>
  <c r="F14" i="1"/>
  <c r="M14" i="1"/>
  <c r="F15" i="1"/>
  <c r="M15" i="1"/>
  <c r="F16" i="1"/>
  <c r="M16" i="1"/>
  <c r="F17" i="1"/>
  <c r="M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9" i="1"/>
  <c r="B19" i="1"/>
  <c r="B21" i="1"/>
  <c r="B20" i="1"/>
  <c r="B22" i="1"/>
  <c r="B23" i="1"/>
  <c r="G19" i="1"/>
  <c r="H19" i="1"/>
  <c r="C19" i="1"/>
</calcChain>
</file>

<file path=xl/sharedStrings.xml><?xml version="1.0" encoding="utf-8"?>
<sst xmlns="http://schemas.openxmlformats.org/spreadsheetml/2006/main" count="74" uniqueCount="41">
  <si>
    <t>Study</t>
  </si>
  <si>
    <t>n</t>
  </si>
  <si>
    <t>ES (correlation)</t>
  </si>
  <si>
    <t>ESc</t>
  </si>
  <si>
    <t>Potential Moderators</t>
  </si>
  <si>
    <t>Gender (M=1; F=2; Mixed=3)</t>
  </si>
  <si>
    <t>Pre (1) / Post (2) Adoption</t>
  </si>
  <si>
    <t>Alpha for x</t>
  </si>
  <si>
    <t>Alpha for y</t>
  </si>
  <si>
    <t>95% Credibility Interval</t>
  </si>
  <si>
    <t>Lower</t>
  </si>
  <si>
    <t>Upper</t>
  </si>
  <si>
    <t>Total Var</t>
  </si>
  <si>
    <t>Between Study Var</t>
  </si>
  <si>
    <t>Within Study Var</t>
  </si>
  <si>
    <t>Average Sample size</t>
  </si>
  <si>
    <t>Q</t>
  </si>
  <si>
    <t>H2</t>
  </si>
  <si>
    <t>I2</t>
  </si>
  <si>
    <t>Gender (%Female)</t>
  </si>
  <si>
    <t>r</t>
  </si>
  <si>
    <t>Adoption</t>
  </si>
  <si>
    <t>Gender</t>
  </si>
  <si>
    <t>Female_Perc</t>
  </si>
  <si>
    <t>r_original</t>
  </si>
  <si>
    <t>AlphaX</t>
  </si>
  <si>
    <t>AlphaY</t>
  </si>
  <si>
    <t>ESz</t>
  </si>
  <si>
    <t>ESz * w</t>
  </si>
  <si>
    <t>w</t>
  </si>
  <si>
    <t>Pooled ESz (fixed-effect):</t>
  </si>
  <si>
    <t>c</t>
  </si>
  <si>
    <t>T2</t>
  </si>
  <si>
    <t>w*</t>
  </si>
  <si>
    <t>ESz * w*</t>
  </si>
  <si>
    <t>Pooled ESz (random-effect):</t>
  </si>
  <si>
    <t>Pooled r (random-effect):</t>
  </si>
  <si>
    <t>95% CI (upper) for ESz:</t>
  </si>
  <si>
    <t>95% CI (lower) for ESz:</t>
  </si>
  <si>
    <t>95% CI (upper) for Pooled r:</t>
  </si>
  <si>
    <t>95% CI (lower) for Pooled 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</si>
</sst>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rgb="FF000000"/>
      <name val="Times New Roman"/>
    </font>
    <font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DD7"/>
        <bgColor indexed="64"/>
      </patternFill>
    </fill>
    <fill>
      <patternFill patternType="solid">
        <fgColor rgb="FFFFF2CC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/>
    <xf numFmtId="10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10" fontId="2" fillId="2" borderId="1" xfId="0" applyNumberFormat="1" applyFont="1" applyFill="1" applyBorder="1" applyAlignment="1">
      <alignment horizontal="center" vertical="center"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7"/>
  <colors>
    <mruColors>
      <color rgb="FFFFFDD7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110" zoomScaleNormal="110" zoomScalePageLayoutView="110" workbookViewId="0">
      <selection activeCell="A19" sqref="A19:K19"/>
    </sheetView>
  </sheetViews>
  <sheetFormatPr baseColWidth="10" defaultRowHeight="16" x14ac:dyDescent="0.2"/>
  <cols>
    <col min="1" max="1" width="22.6640625" style="1" customWidth="1"/>
    <col min="2" max="2" width="9.6640625" style="1" customWidth="1"/>
    <col min="3" max="3" width="13.83203125" style="1" bestFit="1" customWidth="1"/>
    <col min="4" max="5" width="11" style="1" customWidth="1"/>
    <col min="6" max="6" width="7.5" style="1" customWidth="1"/>
    <col min="7" max="7" width="9.33203125" style="1" customWidth="1"/>
    <col min="8" max="8" width="9.6640625" style="1" customWidth="1"/>
    <col min="9" max="10" width="17.6640625" style="1" customWidth="1"/>
    <col min="11" max="11" width="17.1640625" style="1" customWidth="1"/>
    <col min="12" max="12" width="8.6640625" style="1" customWidth="1"/>
    <col min="13" max="16384" width="10.83203125" style="1"/>
  </cols>
  <sheetData>
    <row r="1" spans="1:16" ht="35" customHeight="1" x14ac:dyDescent="0.2">
      <c r="A1" s="37" t="s">
        <v>0</v>
      </c>
      <c r="B1" s="37" t="s">
        <v>1</v>
      </c>
      <c r="C1" s="37" t="s">
        <v>2</v>
      </c>
      <c r="D1" s="37" t="s">
        <v>7</v>
      </c>
      <c r="E1" s="37" t="s">
        <v>8</v>
      </c>
      <c r="F1" s="36" t="s">
        <v>3</v>
      </c>
      <c r="G1" s="38" t="s">
        <v>9</v>
      </c>
      <c r="H1" s="39"/>
      <c r="I1" s="36" t="s">
        <v>4</v>
      </c>
      <c r="J1" s="36"/>
      <c r="K1" s="36"/>
      <c r="L1" s="9"/>
      <c r="M1" s="2"/>
      <c r="N1" s="2"/>
    </row>
    <row r="2" spans="1:16" ht="39" customHeight="1" x14ac:dyDescent="0.2">
      <c r="A2" s="37"/>
      <c r="B2" s="37"/>
      <c r="C2" s="37"/>
      <c r="D2" s="37"/>
      <c r="E2" s="37"/>
      <c r="F2" s="36"/>
      <c r="G2" s="16" t="s">
        <v>10</v>
      </c>
      <c r="H2" s="16" t="s">
        <v>11</v>
      </c>
      <c r="I2" s="3" t="s">
        <v>6</v>
      </c>
      <c r="J2" s="25" t="s">
        <v>5</v>
      </c>
      <c r="K2" s="3" t="s">
        <v>19</v>
      </c>
      <c r="L2" s="10"/>
      <c r="M2" s="6"/>
      <c r="N2" s="6"/>
    </row>
    <row r="3" spans="1:16" ht="18" x14ac:dyDescent="0.2">
      <c r="A3" s="11">
        <v>1</v>
      </c>
      <c r="B3" s="11">
        <v>99</v>
      </c>
      <c r="C3" s="12">
        <v>0.45</v>
      </c>
      <c r="D3" s="12">
        <v>0.93</v>
      </c>
      <c r="E3" s="12">
        <v>0.91</v>
      </c>
      <c r="F3" s="12">
        <f>C3/(D3*E3)^0.5</f>
        <v>0.48915933209955009</v>
      </c>
      <c r="G3" s="19"/>
      <c r="H3" s="19"/>
      <c r="I3" s="5">
        <v>1</v>
      </c>
      <c r="J3" s="5">
        <v>3</v>
      </c>
      <c r="K3" s="13">
        <v>0.3</v>
      </c>
      <c r="L3" s="8"/>
      <c r="M3" s="1">
        <f>F3*B3</f>
        <v>48.42677387785546</v>
      </c>
      <c r="N3" s="1">
        <f>B3*((F3-$F$19)^2)</f>
        <v>8.1982291702679677E-2</v>
      </c>
      <c r="O3" s="1">
        <f>B3*(F3^2)</f>
        <v>23.688408365827716</v>
      </c>
      <c r="P3" s="1">
        <f>((B3-1)*(F3-$F$19)^2)/(1-$F$19^2)^2</f>
        <v>0.15156355037257632</v>
      </c>
    </row>
    <row r="4" spans="1:16" ht="18" x14ac:dyDescent="0.2">
      <c r="A4" s="5">
        <v>2</v>
      </c>
      <c r="B4" s="5">
        <v>200</v>
      </c>
      <c r="C4" s="13">
        <v>0.68</v>
      </c>
      <c r="D4" s="13">
        <v>1</v>
      </c>
      <c r="E4" s="13">
        <v>0.76</v>
      </c>
      <c r="F4" s="13">
        <f t="shared" ref="F4:F17" si="0">C4/(D4*E4)^0.5</f>
        <v>0.78001349515991014</v>
      </c>
      <c r="G4" s="20"/>
      <c r="H4" s="20"/>
      <c r="I4" s="5">
        <v>2</v>
      </c>
      <c r="J4" s="5">
        <v>1</v>
      </c>
      <c r="K4" s="13">
        <v>0</v>
      </c>
      <c r="L4" s="8"/>
      <c r="M4" s="1">
        <f t="shared" ref="M4:M17" si="1">F4*B4</f>
        <v>156.00269903198202</v>
      </c>
      <c r="N4" s="1">
        <f>B4*((F4-$F$19)^2)</f>
        <v>13.736909322311558</v>
      </c>
      <c r="O4" s="1">
        <f t="shared" ref="O4:O17" si="2">B4*(F4^2)</f>
        <v>121.68421052631584</v>
      </c>
      <c r="P4" s="1">
        <f t="shared" ref="P4:P17" si="3">((B4-1)*(F4-$F$19)^2)/(1-$F$19^2)^2</f>
        <v>25.526774795369573</v>
      </c>
    </row>
    <row r="5" spans="1:16" ht="18" x14ac:dyDescent="0.2">
      <c r="A5" s="5">
        <v>3</v>
      </c>
      <c r="B5" s="5">
        <v>112</v>
      </c>
      <c r="C5" s="13">
        <v>0.46</v>
      </c>
      <c r="D5" s="13">
        <v>0.89</v>
      </c>
      <c r="E5" s="13">
        <v>0.89</v>
      </c>
      <c r="F5" s="13">
        <f t="shared" si="0"/>
        <v>0.5168539325842697</v>
      </c>
      <c r="G5" s="20"/>
      <c r="H5" s="20"/>
      <c r="I5" s="5">
        <v>1</v>
      </c>
      <c r="J5" s="5">
        <v>3</v>
      </c>
      <c r="K5" s="13">
        <v>0.55000000000000004</v>
      </c>
      <c r="L5" s="8"/>
      <c r="M5" s="1">
        <f t="shared" si="1"/>
        <v>57.887640449438209</v>
      </c>
      <c r="N5" s="1">
        <f>B5*((F5-$F$19)^2)</f>
        <v>1.3116834653565418E-4</v>
      </c>
      <c r="O5" s="1">
        <f t="shared" si="2"/>
        <v>29.919454614316379</v>
      </c>
      <c r="P5" s="1">
        <f t="shared" si="3"/>
        <v>2.4278275473250797E-4</v>
      </c>
    </row>
    <row r="6" spans="1:16" ht="18" x14ac:dyDescent="0.2">
      <c r="A6" s="5">
        <v>4</v>
      </c>
      <c r="B6" s="5">
        <v>98</v>
      </c>
      <c r="C6" s="13">
        <v>0.57999999999999996</v>
      </c>
      <c r="D6" s="13">
        <v>0.89</v>
      </c>
      <c r="E6" s="13">
        <v>0.96</v>
      </c>
      <c r="F6" s="13">
        <f t="shared" si="0"/>
        <v>0.62747636749147739</v>
      </c>
      <c r="G6" s="20"/>
      <c r="H6" s="20"/>
      <c r="I6" s="5">
        <v>2</v>
      </c>
      <c r="J6" s="5">
        <v>3</v>
      </c>
      <c r="K6" s="13">
        <v>0.45</v>
      </c>
      <c r="L6" s="8"/>
      <c r="M6" s="1">
        <f t="shared" si="1"/>
        <v>61.492684014164787</v>
      </c>
      <c r="N6" s="1">
        <f t="shared" ref="N6:N17" si="4">B6*((F6-$F$19)^2)</f>
        <v>1.1759082882377707</v>
      </c>
      <c r="O6" s="1">
        <f t="shared" si="2"/>
        <v>38.585205992509366</v>
      </c>
      <c r="P6" s="1">
        <f t="shared" si="3"/>
        <v>2.1737167139629299</v>
      </c>
    </row>
    <row r="7" spans="1:16" ht="18" x14ac:dyDescent="0.2">
      <c r="A7" s="5">
        <v>5</v>
      </c>
      <c r="B7" s="5">
        <v>104</v>
      </c>
      <c r="C7" s="13">
        <v>0.49</v>
      </c>
      <c r="D7" s="13">
        <v>0.74</v>
      </c>
      <c r="E7" s="13">
        <v>0.88</v>
      </c>
      <c r="F7" s="13">
        <f t="shared" si="0"/>
        <v>0.60720995644334685</v>
      </c>
      <c r="G7" s="20"/>
      <c r="H7" s="20"/>
      <c r="I7" s="5">
        <v>1</v>
      </c>
      <c r="J7" s="5">
        <v>3</v>
      </c>
      <c r="K7" s="13">
        <v>0.4</v>
      </c>
      <c r="L7" s="8"/>
      <c r="M7" s="1">
        <f t="shared" si="1"/>
        <v>63.149835470108073</v>
      </c>
      <c r="N7" s="1">
        <f t="shared" si="4"/>
        <v>0.82886091856583455</v>
      </c>
      <c r="O7" s="1">
        <f t="shared" si="2"/>
        <v>38.345208845208845</v>
      </c>
      <c r="P7" s="1">
        <f t="shared" si="3"/>
        <v>1.5330961143236208</v>
      </c>
    </row>
    <row r="8" spans="1:16" ht="18" x14ac:dyDescent="0.2">
      <c r="A8" s="5">
        <v>6</v>
      </c>
      <c r="B8" s="5">
        <v>300</v>
      </c>
      <c r="C8" s="13">
        <v>0.2</v>
      </c>
      <c r="D8" s="13">
        <v>0.9</v>
      </c>
      <c r="E8" s="13">
        <v>0.89</v>
      </c>
      <c r="F8" s="13">
        <f t="shared" si="0"/>
        <v>0.22346717438466362</v>
      </c>
      <c r="G8" s="20"/>
      <c r="H8" s="20"/>
      <c r="I8" s="5">
        <v>1</v>
      </c>
      <c r="J8" s="5">
        <v>2</v>
      </c>
      <c r="K8" s="13">
        <v>1</v>
      </c>
      <c r="L8" s="8"/>
      <c r="M8" s="1">
        <f t="shared" si="1"/>
        <v>67.040152315399084</v>
      </c>
      <c r="N8" s="1">
        <f t="shared" si="4"/>
        <v>26.013589314087461</v>
      </c>
      <c r="O8" s="1">
        <f t="shared" si="2"/>
        <v>14.9812734082397</v>
      </c>
      <c r="P8" s="1">
        <f t="shared" si="3"/>
        <v>48.421032732046839</v>
      </c>
    </row>
    <row r="9" spans="1:16" ht="18" x14ac:dyDescent="0.2">
      <c r="A9" s="5">
        <v>7</v>
      </c>
      <c r="B9" s="5">
        <v>400</v>
      </c>
      <c r="C9" s="13">
        <v>0.64</v>
      </c>
      <c r="D9" s="13">
        <v>0.8</v>
      </c>
      <c r="E9" s="13">
        <v>0.93</v>
      </c>
      <c r="F9" s="13">
        <f t="shared" si="0"/>
        <v>0.74198223321626922</v>
      </c>
      <c r="G9" s="20"/>
      <c r="H9" s="20"/>
      <c r="I9" s="5">
        <v>2</v>
      </c>
      <c r="J9" s="5">
        <v>3</v>
      </c>
      <c r="K9" s="13">
        <v>0.2</v>
      </c>
      <c r="L9" s="8"/>
      <c r="M9" s="1">
        <f t="shared" si="1"/>
        <v>296.79289328650771</v>
      </c>
      <c r="N9" s="1">
        <f t="shared" si="4"/>
        <v>20.078662985078999</v>
      </c>
      <c r="O9" s="1">
        <f t="shared" si="2"/>
        <v>220.21505376344086</v>
      </c>
      <c r="P9" s="1">
        <f t="shared" si="3"/>
        <v>37.405161082121609</v>
      </c>
    </row>
    <row r="10" spans="1:16" ht="18" x14ac:dyDescent="0.2">
      <c r="A10" s="5">
        <v>8</v>
      </c>
      <c r="B10" s="5">
        <v>100</v>
      </c>
      <c r="C10" s="13">
        <v>-0.1</v>
      </c>
      <c r="D10" s="13">
        <v>0.7</v>
      </c>
      <c r="E10" s="13">
        <v>0.76</v>
      </c>
      <c r="F10" s="13">
        <f t="shared" si="0"/>
        <v>-0.13710212427677046</v>
      </c>
      <c r="G10" s="20"/>
      <c r="H10" s="20"/>
      <c r="I10" s="5">
        <v>1</v>
      </c>
      <c r="J10" s="5">
        <v>2</v>
      </c>
      <c r="K10" s="13">
        <v>1</v>
      </c>
      <c r="L10" s="8"/>
      <c r="M10" s="1">
        <f t="shared" si="1"/>
        <v>-13.710212427677046</v>
      </c>
      <c r="N10" s="1">
        <f t="shared" si="4"/>
        <v>42.9075111360726</v>
      </c>
      <c r="O10" s="1">
        <f t="shared" si="2"/>
        <v>1.8796992481203014</v>
      </c>
      <c r="P10" s="1">
        <f t="shared" si="3"/>
        <v>79.332721538946231</v>
      </c>
    </row>
    <row r="11" spans="1:16" ht="18" x14ac:dyDescent="0.2">
      <c r="A11" s="5">
        <v>9</v>
      </c>
      <c r="B11" s="5">
        <v>50</v>
      </c>
      <c r="C11" s="13">
        <v>-0.06</v>
      </c>
      <c r="D11" s="13">
        <v>0.65</v>
      </c>
      <c r="E11" s="13">
        <v>0.71</v>
      </c>
      <c r="F11" s="13">
        <f t="shared" si="0"/>
        <v>-8.8321288793649186E-2</v>
      </c>
      <c r="G11" s="20"/>
      <c r="H11" s="20"/>
      <c r="I11" s="5">
        <v>1</v>
      </c>
      <c r="J11" s="5">
        <v>3</v>
      </c>
      <c r="K11" s="13">
        <v>0.8</v>
      </c>
      <c r="L11" s="8"/>
      <c r="M11" s="1">
        <f t="shared" si="1"/>
        <v>-4.4160644396824589</v>
      </c>
      <c r="N11" s="1">
        <f t="shared" si="4"/>
        <v>18.377402743789975</v>
      </c>
      <c r="O11" s="1">
        <f t="shared" si="2"/>
        <v>0.3900325027085591</v>
      </c>
      <c r="P11" s="1">
        <f t="shared" si="3"/>
        <v>33.635202250886181</v>
      </c>
    </row>
    <row r="12" spans="1:16" ht="18" x14ac:dyDescent="0.2">
      <c r="A12" s="5">
        <v>10</v>
      </c>
      <c r="B12" s="5">
        <v>550</v>
      </c>
      <c r="C12" s="13">
        <v>0.4</v>
      </c>
      <c r="D12" s="13">
        <v>0.77</v>
      </c>
      <c r="E12" s="13">
        <v>0.67</v>
      </c>
      <c r="F12" s="13">
        <f t="shared" si="0"/>
        <v>0.55690001218392815</v>
      </c>
      <c r="G12" s="20"/>
      <c r="H12" s="20"/>
      <c r="I12" s="5">
        <v>1</v>
      </c>
      <c r="J12" s="5">
        <v>3</v>
      </c>
      <c r="K12" s="13">
        <v>0.52</v>
      </c>
      <c r="L12" s="8"/>
      <c r="M12" s="1">
        <f t="shared" si="1"/>
        <v>306.2950067011605</v>
      </c>
      <c r="N12" s="1">
        <f t="shared" si="4"/>
        <v>0.83500136802560376</v>
      </c>
      <c r="O12" s="1">
        <f t="shared" si="2"/>
        <v>170.57569296375263</v>
      </c>
      <c r="P12" s="1">
        <f t="shared" si="3"/>
        <v>1.5566130844128641</v>
      </c>
    </row>
    <row r="13" spans="1:16" ht="18" x14ac:dyDescent="0.2">
      <c r="A13" s="5">
        <v>11</v>
      </c>
      <c r="B13" s="5">
        <v>250</v>
      </c>
      <c r="C13" s="13">
        <v>0.56000000000000005</v>
      </c>
      <c r="D13" s="13">
        <v>0.88</v>
      </c>
      <c r="E13" s="13">
        <v>0.98</v>
      </c>
      <c r="F13" s="13">
        <f t="shared" si="0"/>
        <v>0.60302268915552726</v>
      </c>
      <c r="G13" s="20"/>
      <c r="H13" s="20"/>
      <c r="I13" s="5">
        <v>2</v>
      </c>
      <c r="J13" s="5">
        <v>3</v>
      </c>
      <c r="K13" s="13">
        <v>0.48</v>
      </c>
      <c r="L13" s="8"/>
      <c r="M13" s="1">
        <f t="shared" si="1"/>
        <v>150.75567228888181</v>
      </c>
      <c r="N13" s="1">
        <f t="shared" si="4"/>
        <v>1.8099307413181438</v>
      </c>
      <c r="O13" s="1">
        <f t="shared" si="2"/>
        <v>90.909090909090907</v>
      </c>
      <c r="P13" s="1">
        <f t="shared" si="3"/>
        <v>3.3667055090387543</v>
      </c>
    </row>
    <row r="14" spans="1:16" ht="18" x14ac:dyDescent="0.2">
      <c r="A14" s="5">
        <v>12</v>
      </c>
      <c r="B14" s="5">
        <v>130</v>
      </c>
      <c r="C14" s="13">
        <v>0.6</v>
      </c>
      <c r="D14" s="13">
        <v>0.92</v>
      </c>
      <c r="E14" s="13">
        <v>1</v>
      </c>
      <c r="F14" s="13">
        <f t="shared" si="0"/>
        <v>0.62554324217122426</v>
      </c>
      <c r="G14" s="20"/>
      <c r="H14" s="20"/>
      <c r="I14" s="5">
        <v>2</v>
      </c>
      <c r="J14" s="5">
        <v>3</v>
      </c>
      <c r="K14" s="13">
        <v>0.5</v>
      </c>
      <c r="L14" s="8"/>
      <c r="M14" s="1">
        <f t="shared" si="1"/>
        <v>81.320621482259156</v>
      </c>
      <c r="N14" s="1">
        <f t="shared" si="4"/>
        <v>1.5053078451285602</v>
      </c>
      <c r="O14" s="1">
        <f t="shared" si="2"/>
        <v>50.869565217391298</v>
      </c>
      <c r="P14" s="1">
        <f t="shared" si="3"/>
        <v>2.7896872512274982</v>
      </c>
    </row>
    <row r="15" spans="1:16" ht="18" x14ac:dyDescent="0.2">
      <c r="A15" s="5">
        <v>13</v>
      </c>
      <c r="B15" s="5">
        <v>210</v>
      </c>
      <c r="C15" s="13">
        <v>0.52</v>
      </c>
      <c r="D15" s="13">
        <v>0.95</v>
      </c>
      <c r="E15" s="13">
        <v>0.94</v>
      </c>
      <c r="F15" s="13">
        <f t="shared" si="0"/>
        <v>0.55027225268195068</v>
      </c>
      <c r="G15" s="20"/>
      <c r="H15" s="20"/>
      <c r="I15" s="5">
        <v>2</v>
      </c>
      <c r="J15" s="5">
        <v>3</v>
      </c>
      <c r="K15" s="13">
        <v>0.44</v>
      </c>
      <c r="L15" s="8"/>
      <c r="M15" s="1">
        <f t="shared" si="1"/>
        <v>115.55717306320965</v>
      </c>
      <c r="N15" s="1">
        <f t="shared" si="4"/>
        <v>0.21958124754914848</v>
      </c>
      <c r="O15" s="1">
        <f t="shared" si="2"/>
        <v>63.587905935050401</v>
      </c>
      <c r="P15" s="1">
        <f t="shared" si="3"/>
        <v>0.40813709998343373</v>
      </c>
    </row>
    <row r="16" spans="1:16" ht="18" x14ac:dyDescent="0.2">
      <c r="A16" s="5">
        <v>14</v>
      </c>
      <c r="B16" s="5">
        <v>100</v>
      </c>
      <c r="C16" s="13">
        <v>-0.05</v>
      </c>
      <c r="D16" s="13">
        <v>1</v>
      </c>
      <c r="E16" s="13">
        <v>0.83</v>
      </c>
      <c r="F16" s="13">
        <f>C16/(D16*E16)^0.5</f>
        <v>-5.4882129994845173E-2</v>
      </c>
      <c r="G16" s="20"/>
      <c r="H16" s="20"/>
      <c r="I16" s="5">
        <v>1</v>
      </c>
      <c r="J16" s="5">
        <v>3</v>
      </c>
      <c r="K16" s="13">
        <v>0.75</v>
      </c>
      <c r="L16" s="8"/>
      <c r="M16" s="1">
        <f t="shared" si="1"/>
        <v>-5.4882129994845172</v>
      </c>
      <c r="N16" s="1">
        <f t="shared" si="4"/>
        <v>32.812075618060796</v>
      </c>
      <c r="O16" s="1">
        <f t="shared" si="2"/>
        <v>0.3012048192771084</v>
      </c>
      <c r="P16" s="1">
        <f t="shared" si="3"/>
        <v>60.667029832314057</v>
      </c>
    </row>
    <row r="17" spans="1:16" ht="18" x14ac:dyDescent="0.2">
      <c r="A17" s="5">
        <v>15</v>
      </c>
      <c r="B17" s="5">
        <v>230</v>
      </c>
      <c r="C17" s="13">
        <v>0.6</v>
      </c>
      <c r="D17" s="13">
        <v>1</v>
      </c>
      <c r="E17" s="13">
        <v>1</v>
      </c>
      <c r="F17" s="13">
        <f t="shared" si="0"/>
        <v>0.6</v>
      </c>
      <c r="G17" s="20"/>
      <c r="H17" s="20"/>
      <c r="I17" s="5">
        <v>2</v>
      </c>
      <c r="J17" s="5">
        <v>1</v>
      </c>
      <c r="K17" s="13">
        <v>0.39</v>
      </c>
      <c r="L17" s="8"/>
      <c r="M17" s="1">
        <f t="shared" si="1"/>
        <v>138</v>
      </c>
      <c r="N17" s="1">
        <f t="shared" si="4"/>
        <v>1.5489302070143163</v>
      </c>
      <c r="O17" s="1">
        <f t="shared" si="2"/>
        <v>82.8</v>
      </c>
      <c r="P17" s="1">
        <f t="shared" si="3"/>
        <v>2.8802045387257147</v>
      </c>
    </row>
    <row r="18" spans="1:16" ht="4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2"/>
    </row>
    <row r="19" spans="1:16" ht="26" customHeight="1" x14ac:dyDescent="0.2">
      <c r="A19" s="17"/>
      <c r="B19" s="17">
        <f>SUM(B3:B18)</f>
        <v>2933</v>
      </c>
      <c r="C19" s="18">
        <f>AVERAGE(C3:C17)</f>
        <v>0.39799999999999996</v>
      </c>
      <c r="D19" s="18"/>
      <c r="E19" s="18"/>
      <c r="F19" s="18">
        <f>SUM(M3:M17)/SUM(B3:B17)</f>
        <v>0.51793612755340013</v>
      </c>
      <c r="G19" s="18">
        <f>$F$19-1.96*B23^0.5</f>
        <v>6.9024133387612152E-2</v>
      </c>
      <c r="H19" s="18">
        <f>$F$19+1.96*B23^0.5</f>
        <v>0.9668481217191881</v>
      </c>
      <c r="I19" s="17"/>
      <c r="J19" s="17"/>
      <c r="K19" s="17"/>
      <c r="L19" s="2"/>
      <c r="M19" s="1">
        <f>SUM(M3:M17)</f>
        <v>1519.1066621141226</v>
      </c>
      <c r="N19" s="1">
        <f>SUM(N3:N18)</f>
        <v>161.93178519528996</v>
      </c>
      <c r="O19" s="1">
        <f>SUM(O3:O17)</f>
        <v>948.7320071112498</v>
      </c>
      <c r="P19" s="1">
        <f>SUM(P3:P17)</f>
        <v>299.84788887648659</v>
      </c>
    </row>
    <row r="20" spans="1:16" ht="21" customHeight="1" x14ac:dyDescent="0.2">
      <c r="A20" s="22" t="s">
        <v>15</v>
      </c>
      <c r="B20" s="17">
        <f>AVERAGE(B3:B17)</f>
        <v>195.53333333333333</v>
      </c>
      <c r="C20" s="4"/>
      <c r="D20" s="4"/>
      <c r="G20" s="2"/>
      <c r="H20" s="2"/>
      <c r="I20" s="2"/>
      <c r="J20" s="2"/>
      <c r="K20" s="2"/>
      <c r="L20" s="2"/>
      <c r="M20" s="2"/>
      <c r="N20" s="2"/>
      <c r="O20" s="1">
        <f>M19^2</f>
        <v>2307685.0508795111</v>
      </c>
    </row>
    <row r="21" spans="1:16" ht="21" customHeight="1" x14ac:dyDescent="0.2">
      <c r="A21" s="22" t="s">
        <v>12</v>
      </c>
      <c r="B21" s="17">
        <f>N19/B19</f>
        <v>5.5210291576982595E-2</v>
      </c>
      <c r="C21" s="4"/>
      <c r="D21" s="4"/>
      <c r="G21" s="2"/>
      <c r="H21" s="2"/>
      <c r="I21" s="2"/>
      <c r="J21" s="2"/>
      <c r="K21" s="2"/>
      <c r="L21" s="2"/>
      <c r="M21" s="2"/>
      <c r="N21" s="2"/>
      <c r="O21" s="1">
        <f>O20/B19</f>
        <v>786.80022191596015</v>
      </c>
    </row>
    <row r="22" spans="1:16" ht="21" customHeight="1" x14ac:dyDescent="0.2">
      <c r="A22" s="22" t="s">
        <v>14</v>
      </c>
      <c r="B22" s="17">
        <f>(1-F19^2)^2/(B20-1)</f>
        <v>2.7524671012681911E-3</v>
      </c>
      <c r="C22" s="4"/>
      <c r="D22" s="4"/>
      <c r="G22" s="2"/>
      <c r="H22" s="2"/>
      <c r="I22" s="2"/>
      <c r="J22" s="2"/>
      <c r="K22" s="2"/>
      <c r="L22" s="2"/>
      <c r="M22" s="2"/>
      <c r="N22" s="2"/>
    </row>
    <row r="23" spans="1:16" ht="20" customHeight="1" x14ac:dyDescent="0.2">
      <c r="A23" s="22" t="s">
        <v>13</v>
      </c>
      <c r="B23" s="17">
        <f>B21-B22</f>
        <v>5.2457824475714405E-2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6" ht="21" customHeight="1" x14ac:dyDescent="0.2">
      <c r="A24" s="23" t="s">
        <v>16</v>
      </c>
      <c r="B24" s="18">
        <f>O19-O21</f>
        <v>161.93178519528965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6" ht="18" x14ac:dyDescent="0.2">
      <c r="A25" s="23" t="s">
        <v>17</v>
      </c>
      <c r="B25" s="18">
        <f>B24/14</f>
        <v>11.566556085377831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6" ht="22" customHeight="1" x14ac:dyDescent="0.2">
      <c r="A26" s="23" t="s">
        <v>18</v>
      </c>
      <c r="B26" s="24">
        <f>(B25-1)/B25</f>
        <v>0.91354384203746031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6" ht="18" x14ac:dyDescent="0.2">
      <c r="A27" s="2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6" ht="18" x14ac:dyDescent="0.2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6" ht="18" x14ac:dyDescent="0.2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6" ht="18" x14ac:dyDescent="0.2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6" ht="18" x14ac:dyDescent="0.2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6" ht="18" x14ac:dyDescent="0.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8" x14ac:dyDescent="0.2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8">
    <mergeCell ref="I1:K1"/>
    <mergeCell ref="A1:A2"/>
    <mergeCell ref="G1:H1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110" zoomScaleNormal="110" zoomScalePageLayoutView="110" workbookViewId="0">
      <selection activeCell="A3" sqref="A3:F3"/>
    </sheetView>
  </sheetViews>
  <sheetFormatPr baseColWidth="10" defaultRowHeight="16" x14ac:dyDescent="0.2"/>
  <cols>
    <col min="1" max="1" width="22.6640625" style="1" customWidth="1"/>
    <col min="2" max="2" width="9.6640625" style="1" customWidth="1"/>
    <col min="3" max="3" width="13.83203125" style="1" bestFit="1" customWidth="1"/>
    <col min="4" max="5" width="11" style="1" customWidth="1"/>
    <col min="6" max="6" width="7.5" style="1" customWidth="1"/>
    <col min="7" max="7" width="9.33203125" style="1" customWidth="1"/>
    <col min="8" max="8" width="9.6640625" style="1" customWidth="1"/>
    <col min="9" max="9" width="17.6640625" style="1" customWidth="1"/>
    <col min="10" max="10" width="17.1640625" style="1" customWidth="1"/>
    <col min="11" max="11" width="8.6640625" style="1" customWidth="1"/>
    <col min="12" max="16384" width="10.83203125" style="1"/>
  </cols>
  <sheetData>
    <row r="1" spans="1:15" ht="35" customHeight="1" x14ac:dyDescent="0.2">
      <c r="A1" s="37" t="s">
        <v>0</v>
      </c>
      <c r="B1" s="37" t="s">
        <v>1</v>
      </c>
      <c r="C1" s="37" t="s">
        <v>2</v>
      </c>
      <c r="D1" s="37" t="s">
        <v>7</v>
      </c>
      <c r="E1" s="37" t="s">
        <v>8</v>
      </c>
      <c r="F1" s="36" t="s">
        <v>3</v>
      </c>
      <c r="G1" s="37" t="s">
        <v>9</v>
      </c>
      <c r="H1" s="37"/>
      <c r="I1" s="36" t="s">
        <v>4</v>
      </c>
      <c r="J1" s="36"/>
      <c r="K1" s="9"/>
      <c r="L1" s="2"/>
      <c r="M1" s="2"/>
    </row>
    <row r="2" spans="1:15" ht="39" customHeight="1" x14ac:dyDescent="0.2">
      <c r="A2" s="37"/>
      <c r="B2" s="37"/>
      <c r="C2" s="37"/>
      <c r="D2" s="37"/>
      <c r="E2" s="37"/>
      <c r="F2" s="36"/>
      <c r="G2" s="16" t="s">
        <v>10</v>
      </c>
      <c r="H2" s="16" t="s">
        <v>11</v>
      </c>
      <c r="I2" s="3" t="s">
        <v>6</v>
      </c>
      <c r="J2" s="3" t="s">
        <v>5</v>
      </c>
      <c r="K2" s="10"/>
      <c r="L2" s="6"/>
      <c r="M2" s="6"/>
    </row>
    <row r="3" spans="1:15" ht="18" x14ac:dyDescent="0.2">
      <c r="A3" s="5">
        <v>1</v>
      </c>
      <c r="B3" s="5">
        <v>99</v>
      </c>
      <c r="C3" s="13">
        <v>0.45</v>
      </c>
      <c r="D3" s="13">
        <v>0.93</v>
      </c>
      <c r="E3" s="13">
        <v>0.91</v>
      </c>
      <c r="F3" s="13">
        <f>C3/(D3*E3)^0.5</f>
        <v>0.48915933209955009</v>
      </c>
      <c r="G3" s="20"/>
      <c r="H3" s="20"/>
      <c r="I3" s="5">
        <v>1</v>
      </c>
      <c r="J3" s="5">
        <v>1</v>
      </c>
      <c r="K3" s="8"/>
      <c r="L3" s="1">
        <f>F3*B3</f>
        <v>48.42677387785546</v>
      </c>
      <c r="M3" s="1">
        <f>B3*((F3-$F$19)^2)</f>
        <v>8.1982291702679677E-2</v>
      </c>
      <c r="N3" s="1">
        <f>B3*(F3^2)</f>
        <v>23.688408365827716</v>
      </c>
      <c r="O3" s="1">
        <f>((B3-1)*(F3-$F$19)^2)/(1-$F$19^2)^2</f>
        <v>0.15156355037257632</v>
      </c>
    </row>
    <row r="4" spans="1:15" ht="18" x14ac:dyDescent="0.2">
      <c r="A4" s="5">
        <v>2</v>
      </c>
      <c r="B4" s="5">
        <v>200</v>
      </c>
      <c r="C4" s="13">
        <v>0.68</v>
      </c>
      <c r="D4" s="13">
        <v>1</v>
      </c>
      <c r="E4" s="13">
        <v>0.76</v>
      </c>
      <c r="F4" s="13">
        <f t="shared" ref="F4:F17" si="0">C4/(D4*E4)^0.5</f>
        <v>0.78001349515991014</v>
      </c>
      <c r="G4" s="20"/>
      <c r="H4" s="20"/>
      <c r="I4" s="5">
        <v>2</v>
      </c>
      <c r="J4" s="5">
        <v>2</v>
      </c>
      <c r="K4" s="8"/>
      <c r="L4" s="1">
        <f t="shared" ref="L4:L17" si="1">F4*B4</f>
        <v>156.00269903198202</v>
      </c>
      <c r="M4" s="1">
        <f>B4*((F4-$F$19)^2)</f>
        <v>13.736909322311558</v>
      </c>
      <c r="N4" s="1">
        <f t="shared" ref="N4:N17" si="2">B4*(F4^2)</f>
        <v>121.68421052631584</v>
      </c>
      <c r="O4" s="1">
        <f t="shared" ref="O4:O17" si="3">((B4-1)*(F4-$F$19)^2)/(1-$F$19^2)^2</f>
        <v>25.526774795369573</v>
      </c>
    </row>
    <row r="5" spans="1:15" ht="18" x14ac:dyDescent="0.2">
      <c r="A5" s="5">
        <v>3</v>
      </c>
      <c r="B5" s="5">
        <v>112</v>
      </c>
      <c r="C5" s="13">
        <v>0.46</v>
      </c>
      <c r="D5" s="13">
        <v>0.89</v>
      </c>
      <c r="E5" s="13">
        <v>0.89</v>
      </c>
      <c r="F5" s="13">
        <f t="shared" si="0"/>
        <v>0.5168539325842697</v>
      </c>
      <c r="G5" s="20"/>
      <c r="H5" s="20"/>
      <c r="I5" s="5">
        <v>1</v>
      </c>
      <c r="J5" s="5">
        <v>3</v>
      </c>
      <c r="K5" s="8"/>
      <c r="L5" s="1">
        <f t="shared" si="1"/>
        <v>57.887640449438209</v>
      </c>
      <c r="M5" s="1">
        <f>B5*((F5-$F$19)^2)</f>
        <v>1.3116834653565418E-4</v>
      </c>
      <c r="N5" s="1">
        <f t="shared" si="2"/>
        <v>29.919454614316379</v>
      </c>
      <c r="O5" s="1">
        <f t="shared" si="3"/>
        <v>2.4278275473250797E-4</v>
      </c>
    </row>
    <row r="6" spans="1:15" ht="18" x14ac:dyDescent="0.2">
      <c r="A6" s="5">
        <v>4</v>
      </c>
      <c r="B6" s="5">
        <v>98</v>
      </c>
      <c r="C6" s="13">
        <v>0.57999999999999996</v>
      </c>
      <c r="D6" s="13">
        <v>0.89</v>
      </c>
      <c r="E6" s="13">
        <v>0.96</v>
      </c>
      <c r="F6" s="13">
        <f t="shared" si="0"/>
        <v>0.62747636749147739</v>
      </c>
      <c r="G6" s="20"/>
      <c r="H6" s="20"/>
      <c r="I6" s="5">
        <v>2</v>
      </c>
      <c r="J6" s="5">
        <v>1</v>
      </c>
      <c r="K6" s="8"/>
      <c r="L6" s="1">
        <f t="shared" si="1"/>
        <v>61.492684014164787</v>
      </c>
      <c r="M6" s="1">
        <f t="shared" ref="M6:M17" si="4">B6*((F6-$F$19)^2)</f>
        <v>1.1759082882377707</v>
      </c>
      <c r="N6" s="1">
        <f t="shared" si="2"/>
        <v>38.585205992509366</v>
      </c>
      <c r="O6" s="1">
        <f t="shared" si="3"/>
        <v>2.1737167139629299</v>
      </c>
    </row>
    <row r="7" spans="1:15" ht="18" x14ac:dyDescent="0.2">
      <c r="A7" s="5">
        <v>5</v>
      </c>
      <c r="B7" s="5">
        <v>104</v>
      </c>
      <c r="C7" s="13">
        <v>0.49</v>
      </c>
      <c r="D7" s="13">
        <v>0.74</v>
      </c>
      <c r="E7" s="13">
        <v>0.88</v>
      </c>
      <c r="F7" s="13">
        <f t="shared" si="0"/>
        <v>0.60720995644334685</v>
      </c>
      <c r="G7" s="20"/>
      <c r="H7" s="20"/>
      <c r="I7" s="5">
        <v>1</v>
      </c>
      <c r="J7" s="5">
        <v>3</v>
      </c>
      <c r="K7" s="8"/>
      <c r="L7" s="1">
        <f t="shared" si="1"/>
        <v>63.149835470108073</v>
      </c>
      <c r="M7" s="1">
        <f t="shared" si="4"/>
        <v>0.82886091856583455</v>
      </c>
      <c r="N7" s="1">
        <f t="shared" si="2"/>
        <v>38.345208845208845</v>
      </c>
      <c r="O7" s="1">
        <f t="shared" si="3"/>
        <v>1.5330961143236208</v>
      </c>
    </row>
    <row r="8" spans="1:15" ht="18" x14ac:dyDescent="0.2">
      <c r="A8" s="5">
        <v>6</v>
      </c>
      <c r="B8" s="5">
        <v>300</v>
      </c>
      <c r="C8" s="13">
        <v>0.2</v>
      </c>
      <c r="D8" s="13">
        <v>0.9</v>
      </c>
      <c r="E8" s="13">
        <v>0.89</v>
      </c>
      <c r="F8" s="13">
        <f t="shared" si="0"/>
        <v>0.22346717438466362</v>
      </c>
      <c r="G8" s="20"/>
      <c r="H8" s="20"/>
      <c r="I8" s="5">
        <v>1</v>
      </c>
      <c r="J8" s="5">
        <v>2</v>
      </c>
      <c r="K8" s="8"/>
      <c r="L8" s="1">
        <f t="shared" si="1"/>
        <v>67.040152315399084</v>
      </c>
      <c r="M8" s="1">
        <f t="shared" si="4"/>
        <v>26.013589314087461</v>
      </c>
      <c r="N8" s="1">
        <f t="shared" si="2"/>
        <v>14.9812734082397</v>
      </c>
      <c r="O8" s="1">
        <f t="shared" si="3"/>
        <v>48.421032732046839</v>
      </c>
    </row>
    <row r="9" spans="1:15" ht="18" x14ac:dyDescent="0.2">
      <c r="A9" s="5">
        <v>7</v>
      </c>
      <c r="B9" s="5">
        <v>400</v>
      </c>
      <c r="C9" s="13">
        <v>0.64</v>
      </c>
      <c r="D9" s="13">
        <v>0.8</v>
      </c>
      <c r="E9" s="13">
        <v>0.93</v>
      </c>
      <c r="F9" s="13">
        <f t="shared" si="0"/>
        <v>0.74198223321626922</v>
      </c>
      <c r="G9" s="20"/>
      <c r="H9" s="20"/>
      <c r="I9" s="5">
        <v>2</v>
      </c>
      <c r="J9" s="5">
        <v>1</v>
      </c>
      <c r="K9" s="8"/>
      <c r="L9" s="1">
        <f t="shared" si="1"/>
        <v>296.79289328650771</v>
      </c>
      <c r="M9" s="1">
        <f t="shared" si="4"/>
        <v>20.078662985078999</v>
      </c>
      <c r="N9" s="1">
        <f t="shared" si="2"/>
        <v>220.21505376344086</v>
      </c>
      <c r="O9" s="1">
        <f t="shared" si="3"/>
        <v>37.405161082121609</v>
      </c>
    </row>
    <row r="10" spans="1:15" ht="18" x14ac:dyDescent="0.2">
      <c r="A10" s="5">
        <v>8</v>
      </c>
      <c r="B10" s="5">
        <v>100</v>
      </c>
      <c r="C10" s="13">
        <v>-0.1</v>
      </c>
      <c r="D10" s="13">
        <v>0.7</v>
      </c>
      <c r="E10" s="13">
        <v>0.76</v>
      </c>
      <c r="F10" s="13">
        <f t="shared" si="0"/>
        <v>-0.13710212427677046</v>
      </c>
      <c r="G10" s="20"/>
      <c r="H10" s="20"/>
      <c r="I10" s="5">
        <v>1</v>
      </c>
      <c r="J10" s="5">
        <v>3</v>
      </c>
      <c r="K10" s="8"/>
      <c r="L10" s="1">
        <f t="shared" si="1"/>
        <v>-13.710212427677046</v>
      </c>
      <c r="M10" s="1">
        <f t="shared" si="4"/>
        <v>42.9075111360726</v>
      </c>
      <c r="N10" s="1">
        <f t="shared" si="2"/>
        <v>1.8796992481203014</v>
      </c>
      <c r="O10" s="1">
        <f t="shared" si="3"/>
        <v>79.332721538946231</v>
      </c>
    </row>
    <row r="11" spans="1:15" ht="18" x14ac:dyDescent="0.2">
      <c r="A11" s="5">
        <v>9</v>
      </c>
      <c r="B11" s="5">
        <v>50</v>
      </c>
      <c r="C11" s="13">
        <v>-0.06</v>
      </c>
      <c r="D11" s="13">
        <v>0.65</v>
      </c>
      <c r="E11" s="13">
        <v>0.71</v>
      </c>
      <c r="F11" s="13">
        <f t="shared" si="0"/>
        <v>-8.8321288793649186E-2</v>
      </c>
      <c r="G11" s="20"/>
      <c r="H11" s="20"/>
      <c r="I11" s="5">
        <v>1</v>
      </c>
      <c r="J11" s="5">
        <v>2</v>
      </c>
      <c r="K11" s="8"/>
      <c r="L11" s="1">
        <f t="shared" si="1"/>
        <v>-4.4160644396824589</v>
      </c>
      <c r="M11" s="1">
        <f t="shared" si="4"/>
        <v>18.377402743789975</v>
      </c>
      <c r="N11" s="1">
        <f t="shared" si="2"/>
        <v>0.3900325027085591</v>
      </c>
      <c r="O11" s="1">
        <f t="shared" si="3"/>
        <v>33.635202250886181</v>
      </c>
    </row>
    <row r="12" spans="1:15" ht="18" x14ac:dyDescent="0.2">
      <c r="A12" s="5">
        <v>10</v>
      </c>
      <c r="B12" s="5">
        <v>550</v>
      </c>
      <c r="C12" s="13">
        <v>0.4</v>
      </c>
      <c r="D12" s="13">
        <v>0.77</v>
      </c>
      <c r="E12" s="13">
        <v>0.67</v>
      </c>
      <c r="F12" s="13">
        <f t="shared" si="0"/>
        <v>0.55690001218392815</v>
      </c>
      <c r="G12" s="20"/>
      <c r="H12" s="20"/>
      <c r="I12" s="5">
        <v>1</v>
      </c>
      <c r="J12" s="5">
        <v>3</v>
      </c>
      <c r="K12" s="8"/>
      <c r="L12" s="1">
        <f t="shared" si="1"/>
        <v>306.2950067011605</v>
      </c>
      <c r="M12" s="1">
        <f t="shared" si="4"/>
        <v>0.83500136802560376</v>
      </c>
      <c r="N12" s="1">
        <f t="shared" si="2"/>
        <v>170.57569296375263</v>
      </c>
      <c r="O12" s="1">
        <f t="shared" si="3"/>
        <v>1.5566130844128641</v>
      </c>
    </row>
    <row r="13" spans="1:15" ht="18" x14ac:dyDescent="0.2">
      <c r="A13" s="5">
        <v>11</v>
      </c>
      <c r="B13" s="5">
        <v>250</v>
      </c>
      <c r="C13" s="13">
        <v>0.56000000000000005</v>
      </c>
      <c r="D13" s="13">
        <v>0.88</v>
      </c>
      <c r="E13" s="13">
        <v>0.98</v>
      </c>
      <c r="F13" s="13">
        <f t="shared" si="0"/>
        <v>0.60302268915552726</v>
      </c>
      <c r="G13" s="20"/>
      <c r="H13" s="20"/>
      <c r="I13" s="5">
        <v>2</v>
      </c>
      <c r="J13" s="5">
        <v>1</v>
      </c>
      <c r="K13" s="8"/>
      <c r="L13" s="1">
        <f t="shared" si="1"/>
        <v>150.75567228888181</v>
      </c>
      <c r="M13" s="1">
        <f t="shared" si="4"/>
        <v>1.8099307413181438</v>
      </c>
      <c r="N13" s="1">
        <f t="shared" si="2"/>
        <v>90.909090909090907</v>
      </c>
      <c r="O13" s="1">
        <f t="shared" si="3"/>
        <v>3.3667055090387543</v>
      </c>
    </row>
    <row r="14" spans="1:15" ht="18" x14ac:dyDescent="0.2">
      <c r="A14" s="5">
        <v>12</v>
      </c>
      <c r="B14" s="5">
        <v>130</v>
      </c>
      <c r="C14" s="13">
        <v>0.6</v>
      </c>
      <c r="D14" s="13">
        <v>0.92</v>
      </c>
      <c r="E14" s="13">
        <v>1</v>
      </c>
      <c r="F14" s="13">
        <f t="shared" si="0"/>
        <v>0.62554324217122426</v>
      </c>
      <c r="G14" s="20"/>
      <c r="H14" s="20"/>
      <c r="I14" s="5">
        <v>2</v>
      </c>
      <c r="J14" s="5">
        <v>2</v>
      </c>
      <c r="K14" s="8"/>
      <c r="L14" s="1">
        <f t="shared" si="1"/>
        <v>81.320621482259156</v>
      </c>
      <c r="M14" s="1">
        <f t="shared" si="4"/>
        <v>1.5053078451285602</v>
      </c>
      <c r="N14" s="1">
        <f t="shared" si="2"/>
        <v>50.869565217391298</v>
      </c>
      <c r="O14" s="1">
        <f t="shared" si="3"/>
        <v>2.7896872512274982</v>
      </c>
    </row>
    <row r="15" spans="1:15" ht="18" x14ac:dyDescent="0.2">
      <c r="A15" s="5">
        <v>13</v>
      </c>
      <c r="B15" s="5">
        <v>210</v>
      </c>
      <c r="C15" s="13">
        <v>0.52</v>
      </c>
      <c r="D15" s="13">
        <v>0.95</v>
      </c>
      <c r="E15" s="13">
        <v>0.94</v>
      </c>
      <c r="F15" s="13">
        <f t="shared" si="0"/>
        <v>0.55027225268195068</v>
      </c>
      <c r="G15" s="20"/>
      <c r="H15" s="20"/>
      <c r="I15" s="5">
        <v>2</v>
      </c>
      <c r="J15" s="5">
        <v>3</v>
      </c>
      <c r="K15" s="8"/>
      <c r="L15" s="1">
        <f t="shared" si="1"/>
        <v>115.55717306320965</v>
      </c>
      <c r="M15" s="1">
        <f t="shared" si="4"/>
        <v>0.21958124754914848</v>
      </c>
      <c r="N15" s="1">
        <f t="shared" si="2"/>
        <v>63.587905935050401</v>
      </c>
      <c r="O15" s="1">
        <f t="shared" si="3"/>
        <v>0.40813709998343373</v>
      </c>
    </row>
    <row r="16" spans="1:15" ht="18" x14ac:dyDescent="0.2">
      <c r="A16" s="5">
        <v>14</v>
      </c>
      <c r="B16" s="5">
        <v>100</v>
      </c>
      <c r="C16" s="13">
        <v>-0.05</v>
      </c>
      <c r="D16" s="13">
        <v>1</v>
      </c>
      <c r="E16" s="13">
        <v>0.83</v>
      </c>
      <c r="F16" s="13">
        <f>C16/(D16*E16)^0.5</f>
        <v>-5.4882129994845173E-2</v>
      </c>
      <c r="G16" s="20"/>
      <c r="H16" s="20"/>
      <c r="I16" s="5">
        <v>1</v>
      </c>
      <c r="J16" s="5">
        <v>2</v>
      </c>
      <c r="K16" s="8"/>
      <c r="L16" s="1">
        <f t="shared" si="1"/>
        <v>-5.4882129994845172</v>
      </c>
      <c r="M16" s="1">
        <f t="shared" si="4"/>
        <v>32.812075618060796</v>
      </c>
      <c r="N16" s="1">
        <f t="shared" si="2"/>
        <v>0.3012048192771084</v>
      </c>
      <c r="O16" s="1">
        <f t="shared" si="3"/>
        <v>60.667029832314057</v>
      </c>
    </row>
    <row r="17" spans="1:15" ht="18" x14ac:dyDescent="0.2">
      <c r="A17" s="5">
        <v>15</v>
      </c>
      <c r="B17" s="5">
        <v>230</v>
      </c>
      <c r="C17" s="13">
        <v>0.6</v>
      </c>
      <c r="D17" s="13">
        <v>1</v>
      </c>
      <c r="E17" s="13">
        <v>1</v>
      </c>
      <c r="F17" s="13">
        <f t="shared" si="0"/>
        <v>0.6</v>
      </c>
      <c r="G17" s="20"/>
      <c r="H17" s="20"/>
      <c r="I17" s="5">
        <v>2</v>
      </c>
      <c r="J17" s="5">
        <v>1</v>
      </c>
      <c r="K17" s="8"/>
      <c r="L17" s="1">
        <f t="shared" si="1"/>
        <v>138</v>
      </c>
      <c r="M17" s="1">
        <f t="shared" si="4"/>
        <v>1.5489302070143163</v>
      </c>
      <c r="N17" s="1">
        <f t="shared" si="2"/>
        <v>82.8</v>
      </c>
      <c r="O17" s="1">
        <f t="shared" si="3"/>
        <v>2.8802045387257147</v>
      </c>
    </row>
    <row r="18" spans="1:15" ht="4" customHeight="1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"/>
      <c r="L18" s="2"/>
      <c r="M18" s="2"/>
    </row>
    <row r="19" spans="1:15" ht="26" customHeight="1" x14ac:dyDescent="0.2">
      <c r="A19" s="17"/>
      <c r="B19" s="17">
        <f>SUM(B3:B18)</f>
        <v>2933</v>
      </c>
      <c r="C19" s="18">
        <f>AVERAGE(C3:C17)</f>
        <v>0.39799999999999996</v>
      </c>
      <c r="D19" s="18"/>
      <c r="E19" s="18"/>
      <c r="F19" s="18">
        <f>SUM(L3:L17)/SUM(B3:B17)</f>
        <v>0.51793612755340013</v>
      </c>
      <c r="G19" s="18">
        <f>$F$19-1.96*B23^0.5</f>
        <v>6.9024133387612152E-2</v>
      </c>
      <c r="H19" s="18">
        <f>$F$19+1.96*B23^0.5</f>
        <v>0.9668481217191881</v>
      </c>
      <c r="I19" s="17"/>
      <c r="J19" s="17"/>
      <c r="K19" s="2"/>
      <c r="L19" s="1">
        <f>SUM(L3:L17)</f>
        <v>1519.1066621141226</v>
      </c>
      <c r="M19" s="1">
        <f>SUM(M3:M18)</f>
        <v>161.93178519528996</v>
      </c>
      <c r="N19" s="1">
        <f>SUM(N3:N17)</f>
        <v>948.7320071112498</v>
      </c>
      <c r="O19" s="1">
        <f>SUM(O3:O17)</f>
        <v>299.84788887648659</v>
      </c>
    </row>
    <row r="20" spans="1:15" ht="21" customHeight="1" x14ac:dyDescent="0.2">
      <c r="A20" s="22" t="s">
        <v>15</v>
      </c>
      <c r="B20" s="17">
        <f>AVERAGE(B3:B17)</f>
        <v>195.53333333333333</v>
      </c>
      <c r="C20" s="4"/>
      <c r="D20" s="4"/>
      <c r="G20" s="2"/>
      <c r="H20" s="2"/>
      <c r="I20" s="2"/>
      <c r="J20" s="2"/>
      <c r="K20" s="2"/>
      <c r="L20" s="2"/>
      <c r="M20" s="2"/>
      <c r="N20" s="1">
        <f>L19^2</f>
        <v>2307685.0508795111</v>
      </c>
    </row>
    <row r="21" spans="1:15" ht="21" customHeight="1" x14ac:dyDescent="0.2">
      <c r="A21" s="22" t="s">
        <v>12</v>
      </c>
      <c r="B21" s="17">
        <f>M19/B19</f>
        <v>5.5210291576982595E-2</v>
      </c>
      <c r="C21" s="4"/>
      <c r="D21" s="4"/>
      <c r="G21" s="2"/>
      <c r="H21" s="2"/>
      <c r="I21" s="2"/>
      <c r="J21" s="2"/>
      <c r="K21" s="2"/>
      <c r="L21" s="2"/>
      <c r="M21" s="2"/>
      <c r="N21" s="1">
        <f>N20/B19</f>
        <v>786.80022191596015</v>
      </c>
    </row>
    <row r="22" spans="1:15" ht="21" customHeight="1" x14ac:dyDescent="0.2">
      <c r="A22" s="22" t="s">
        <v>14</v>
      </c>
      <c r="B22" s="17">
        <f>(1-F19^2)^2/(B20-1)</f>
        <v>2.7524671012681911E-3</v>
      </c>
      <c r="C22" s="4"/>
      <c r="D22" s="4"/>
      <c r="G22" s="2"/>
      <c r="H22" s="2"/>
      <c r="I22" s="2"/>
      <c r="J22" s="2"/>
      <c r="K22" s="2"/>
      <c r="L22" s="2"/>
      <c r="M22" s="2"/>
    </row>
    <row r="23" spans="1:15" ht="20" customHeight="1" x14ac:dyDescent="0.2">
      <c r="A23" s="22" t="s">
        <v>13</v>
      </c>
      <c r="B23" s="17">
        <f>B21-B22</f>
        <v>5.2457824475714405E-2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5" ht="21" customHeight="1" x14ac:dyDescent="0.2">
      <c r="A24" s="23" t="s">
        <v>16</v>
      </c>
      <c r="B24" s="18">
        <f>N19-N21</f>
        <v>161.93178519528965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5" ht="18" x14ac:dyDescent="0.2">
      <c r="A25" s="23" t="s">
        <v>17</v>
      </c>
      <c r="B25" s="18">
        <f>B24/14</f>
        <v>11.566556085377831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5" ht="22" customHeight="1" x14ac:dyDescent="0.2">
      <c r="A26" s="23" t="s">
        <v>18</v>
      </c>
      <c r="B26" s="24">
        <f>(B25-1)/B25</f>
        <v>0.91354384203746031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5" ht="18" x14ac:dyDescent="0.2">
      <c r="A27" s="2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5" ht="18" x14ac:dyDescent="0.2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5" ht="18" x14ac:dyDescent="0.2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5" ht="18" x14ac:dyDescent="0.2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5" ht="18" x14ac:dyDescent="0.2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5" ht="18" x14ac:dyDescent="0.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8" x14ac:dyDescent="0.2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mergeCells count="8">
    <mergeCell ref="G1:H1"/>
    <mergeCell ref="I1:J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120" zoomScaleNormal="120" zoomScalePageLayoutView="120" workbookViewId="0">
      <selection activeCell="I21" sqref="I21"/>
    </sheetView>
  </sheetViews>
  <sheetFormatPr baseColWidth="10" defaultRowHeight="16" x14ac:dyDescent="0.2"/>
  <cols>
    <col min="6" max="6" width="10.83203125" customWidth="1"/>
    <col min="9" max="9" width="14.5" customWidth="1"/>
  </cols>
  <sheetData>
    <row r="1" spans="1:9" ht="36" x14ac:dyDescent="0.2">
      <c r="A1" s="34" t="s">
        <v>0</v>
      </c>
      <c r="B1" s="34" t="s">
        <v>1</v>
      </c>
      <c r="C1" s="34" t="s">
        <v>24</v>
      </c>
      <c r="D1" s="34" t="s">
        <v>25</v>
      </c>
      <c r="E1" s="34" t="s">
        <v>26</v>
      </c>
      <c r="F1" s="35" t="s">
        <v>20</v>
      </c>
      <c r="G1" s="30" t="s">
        <v>21</v>
      </c>
      <c r="H1" s="30" t="s">
        <v>22</v>
      </c>
      <c r="I1" s="30" t="s">
        <v>23</v>
      </c>
    </row>
    <row r="2" spans="1:9" ht="18" x14ac:dyDescent="0.2">
      <c r="A2" s="5">
        <v>1</v>
      </c>
      <c r="B2" s="5">
        <v>99</v>
      </c>
      <c r="C2" s="13">
        <v>0.45</v>
      </c>
      <c r="D2" s="13">
        <v>0.93</v>
      </c>
      <c r="E2" s="13">
        <v>0.91</v>
      </c>
      <c r="F2" s="13">
        <f>C2/(D2*E2)^0.5</f>
        <v>0.48915933209955009</v>
      </c>
      <c r="G2" s="32">
        <v>1</v>
      </c>
      <c r="H2" s="32">
        <v>3</v>
      </c>
      <c r="I2" s="33">
        <v>0.3</v>
      </c>
    </row>
    <row r="3" spans="1:9" ht="18" x14ac:dyDescent="0.2">
      <c r="A3" s="31">
        <v>2</v>
      </c>
      <c r="B3" s="32">
        <v>200</v>
      </c>
      <c r="C3" s="33">
        <v>0.68</v>
      </c>
      <c r="D3" s="33">
        <v>1</v>
      </c>
      <c r="E3" s="33">
        <v>0.76</v>
      </c>
      <c r="F3" s="33">
        <v>0.78</v>
      </c>
      <c r="G3" s="32">
        <v>2</v>
      </c>
      <c r="H3" s="32">
        <v>1</v>
      </c>
      <c r="I3" s="33">
        <v>0</v>
      </c>
    </row>
    <row r="4" spans="1:9" ht="18" x14ac:dyDescent="0.2">
      <c r="A4" s="31">
        <v>3</v>
      </c>
      <c r="B4" s="32">
        <v>112</v>
      </c>
      <c r="C4" s="33">
        <v>0.46</v>
      </c>
      <c r="D4" s="33">
        <v>0.89</v>
      </c>
      <c r="E4" s="33">
        <v>0.89</v>
      </c>
      <c r="F4" s="33">
        <v>0.52</v>
      </c>
      <c r="G4" s="32">
        <v>1</v>
      </c>
      <c r="H4" s="32">
        <v>3</v>
      </c>
      <c r="I4" s="33">
        <v>0.55000000000000004</v>
      </c>
    </row>
    <row r="5" spans="1:9" ht="18" x14ac:dyDescent="0.2">
      <c r="A5" s="31">
        <v>4</v>
      </c>
      <c r="B5" s="32">
        <v>98</v>
      </c>
      <c r="C5" s="33">
        <v>0.57999999999999996</v>
      </c>
      <c r="D5" s="33">
        <v>0.89</v>
      </c>
      <c r="E5" s="33">
        <v>0.96</v>
      </c>
      <c r="F5" s="33">
        <v>0.63</v>
      </c>
      <c r="G5" s="32">
        <v>2</v>
      </c>
      <c r="H5" s="32">
        <v>3</v>
      </c>
      <c r="I5" s="33">
        <v>0.45</v>
      </c>
    </row>
    <row r="6" spans="1:9" ht="18" x14ac:dyDescent="0.2">
      <c r="A6" s="31">
        <v>5</v>
      </c>
      <c r="B6" s="32">
        <v>104</v>
      </c>
      <c r="C6" s="33">
        <v>0.49</v>
      </c>
      <c r="D6" s="33">
        <v>0.74</v>
      </c>
      <c r="E6" s="33">
        <v>0.88</v>
      </c>
      <c r="F6" s="33">
        <v>0.61</v>
      </c>
      <c r="G6" s="32">
        <v>1</v>
      </c>
      <c r="H6" s="32">
        <v>3</v>
      </c>
      <c r="I6" s="33">
        <v>0.4</v>
      </c>
    </row>
    <row r="7" spans="1:9" ht="18" x14ac:dyDescent="0.2">
      <c r="A7" s="31">
        <v>6</v>
      </c>
      <c r="B7" s="32">
        <v>300</v>
      </c>
      <c r="C7" s="33">
        <v>0.2</v>
      </c>
      <c r="D7" s="33">
        <v>0.9</v>
      </c>
      <c r="E7" s="33">
        <v>0.89</v>
      </c>
      <c r="F7" s="33">
        <v>0.22</v>
      </c>
      <c r="G7" s="32">
        <v>1</v>
      </c>
      <c r="H7" s="32">
        <v>2</v>
      </c>
      <c r="I7" s="33">
        <v>1</v>
      </c>
    </row>
    <row r="8" spans="1:9" ht="18" x14ac:dyDescent="0.2">
      <c r="A8" s="31">
        <v>7</v>
      </c>
      <c r="B8" s="32">
        <v>400</v>
      </c>
      <c r="C8" s="33">
        <v>0.64</v>
      </c>
      <c r="D8" s="33">
        <v>0.8</v>
      </c>
      <c r="E8" s="33">
        <v>0.93</v>
      </c>
      <c r="F8" s="33">
        <v>0.74</v>
      </c>
      <c r="G8" s="32">
        <v>2</v>
      </c>
      <c r="H8" s="32">
        <v>3</v>
      </c>
      <c r="I8" s="33">
        <v>0.2</v>
      </c>
    </row>
    <row r="9" spans="1:9" ht="18" x14ac:dyDescent="0.2">
      <c r="A9" s="31">
        <v>8</v>
      </c>
      <c r="B9" s="32">
        <v>100</v>
      </c>
      <c r="C9" s="33">
        <v>-0.1</v>
      </c>
      <c r="D9" s="33">
        <v>0.7</v>
      </c>
      <c r="E9" s="33">
        <v>0.76</v>
      </c>
      <c r="F9" s="33">
        <v>-0.14000000000000001</v>
      </c>
      <c r="G9" s="32">
        <v>1</v>
      </c>
      <c r="H9" s="32">
        <v>2</v>
      </c>
      <c r="I9" s="33">
        <v>1</v>
      </c>
    </row>
    <row r="10" spans="1:9" ht="18" x14ac:dyDescent="0.2">
      <c r="A10" s="31">
        <v>9</v>
      </c>
      <c r="B10" s="32">
        <v>50</v>
      </c>
      <c r="C10" s="33">
        <v>-0.06</v>
      </c>
      <c r="D10" s="33">
        <v>0.65</v>
      </c>
      <c r="E10" s="33">
        <v>0.71</v>
      </c>
      <c r="F10" s="33">
        <v>-0.09</v>
      </c>
      <c r="G10" s="32">
        <v>1</v>
      </c>
      <c r="H10" s="32">
        <v>3</v>
      </c>
      <c r="I10" s="33">
        <v>0.8</v>
      </c>
    </row>
    <row r="11" spans="1:9" ht="18" x14ac:dyDescent="0.2">
      <c r="A11" s="31">
        <v>10</v>
      </c>
      <c r="B11" s="32">
        <v>550</v>
      </c>
      <c r="C11" s="33">
        <v>0.4</v>
      </c>
      <c r="D11" s="33">
        <v>0.77</v>
      </c>
      <c r="E11" s="33">
        <v>0.67</v>
      </c>
      <c r="F11" s="33">
        <v>0.56000000000000005</v>
      </c>
      <c r="G11" s="32">
        <v>1</v>
      </c>
      <c r="H11" s="32">
        <v>3</v>
      </c>
      <c r="I11" s="33">
        <v>0.52</v>
      </c>
    </row>
    <row r="12" spans="1:9" ht="18" x14ac:dyDescent="0.2">
      <c r="A12" s="31">
        <v>11</v>
      </c>
      <c r="B12" s="32">
        <v>250</v>
      </c>
      <c r="C12" s="33">
        <v>0.56000000000000005</v>
      </c>
      <c r="D12" s="33">
        <v>0.88</v>
      </c>
      <c r="E12" s="33">
        <v>0.98</v>
      </c>
      <c r="F12" s="33">
        <v>0.6</v>
      </c>
      <c r="G12" s="32">
        <v>2</v>
      </c>
      <c r="H12" s="32">
        <v>3</v>
      </c>
      <c r="I12" s="33">
        <v>0.48</v>
      </c>
    </row>
    <row r="13" spans="1:9" ht="18" x14ac:dyDescent="0.2">
      <c r="A13" s="31">
        <v>12</v>
      </c>
      <c r="B13" s="32">
        <v>130</v>
      </c>
      <c r="C13" s="33">
        <v>0.6</v>
      </c>
      <c r="D13" s="33">
        <v>0.92</v>
      </c>
      <c r="E13" s="33">
        <v>1</v>
      </c>
      <c r="F13" s="33">
        <v>0.63</v>
      </c>
      <c r="G13" s="32">
        <v>2</v>
      </c>
      <c r="H13" s="32">
        <v>3</v>
      </c>
      <c r="I13" s="33">
        <v>0.5</v>
      </c>
    </row>
    <row r="14" spans="1:9" ht="18" x14ac:dyDescent="0.2">
      <c r="A14" s="31">
        <v>13</v>
      </c>
      <c r="B14" s="32">
        <v>210</v>
      </c>
      <c r="C14" s="33">
        <v>0.52</v>
      </c>
      <c r="D14" s="33">
        <v>0.95</v>
      </c>
      <c r="E14" s="33">
        <v>0.94</v>
      </c>
      <c r="F14" s="33">
        <v>0.55000000000000004</v>
      </c>
      <c r="G14" s="32">
        <v>2</v>
      </c>
      <c r="H14" s="32">
        <v>3</v>
      </c>
      <c r="I14" s="33">
        <v>0.44</v>
      </c>
    </row>
    <row r="15" spans="1:9" ht="18" x14ac:dyDescent="0.2">
      <c r="A15" s="31">
        <v>14</v>
      </c>
      <c r="B15" s="32">
        <v>100</v>
      </c>
      <c r="C15" s="33">
        <v>-0.05</v>
      </c>
      <c r="D15" s="33">
        <v>1</v>
      </c>
      <c r="E15" s="33">
        <v>0.83</v>
      </c>
      <c r="F15" s="33">
        <v>-0.05</v>
      </c>
      <c r="G15" s="32">
        <v>1</v>
      </c>
      <c r="H15" s="32">
        <v>3</v>
      </c>
      <c r="I15" s="33">
        <v>0.75</v>
      </c>
    </row>
    <row r="16" spans="1:9" ht="18" x14ac:dyDescent="0.2">
      <c r="A16" s="31">
        <v>15</v>
      </c>
      <c r="B16" s="32">
        <v>230</v>
      </c>
      <c r="C16" s="33">
        <v>0.6</v>
      </c>
      <c r="D16" s="33">
        <v>1</v>
      </c>
      <c r="E16" s="33">
        <v>1</v>
      </c>
      <c r="F16" s="33">
        <v>0.6</v>
      </c>
      <c r="G16" s="32">
        <v>2</v>
      </c>
      <c r="H16" s="32">
        <v>1</v>
      </c>
      <c r="I16" s="33">
        <v>0.39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zoomScale="120" zoomScaleNormal="120" zoomScalePageLayoutView="120" workbookViewId="0">
      <selection activeCell="S29" sqref="S29"/>
    </sheetView>
  </sheetViews>
  <sheetFormatPr baseColWidth="10" defaultRowHeight="16" x14ac:dyDescent="0.2"/>
  <cols>
    <col min="1" max="1" width="15.5" customWidth="1"/>
    <col min="2" max="2" width="15" customWidth="1"/>
    <col min="3" max="3" width="12.1640625" customWidth="1"/>
    <col min="6" max="8" width="10.83203125" customWidth="1"/>
    <col min="9" max="11" width="10.83203125" hidden="1" customWidth="1"/>
    <col min="14" max="14" width="14.5" customWidth="1"/>
  </cols>
  <sheetData>
    <row r="1" spans="1:17" ht="18" x14ac:dyDescent="0.2">
      <c r="A1" s="29" t="s">
        <v>0</v>
      </c>
      <c r="B1" s="29" t="s">
        <v>1</v>
      </c>
      <c r="C1" s="29" t="s">
        <v>24</v>
      </c>
      <c r="D1" s="29" t="s">
        <v>25</v>
      </c>
      <c r="E1" s="29" t="s">
        <v>26</v>
      </c>
      <c r="F1" s="28" t="s">
        <v>20</v>
      </c>
      <c r="G1" s="28" t="s">
        <v>27</v>
      </c>
      <c r="H1" s="28" t="s">
        <v>29</v>
      </c>
      <c r="I1" s="28" t="s">
        <v>28</v>
      </c>
      <c r="J1" s="28" t="s">
        <v>33</v>
      </c>
      <c r="K1" s="28" t="s">
        <v>34</v>
      </c>
      <c r="L1" s="40" t="s">
        <v>21</v>
      </c>
      <c r="M1" s="40" t="s">
        <v>22</v>
      </c>
      <c r="N1" s="40" t="s">
        <v>23</v>
      </c>
    </row>
    <row r="2" spans="1:17" ht="18" x14ac:dyDescent="0.2">
      <c r="A2" s="5">
        <v>1</v>
      </c>
      <c r="B2" s="5">
        <v>99</v>
      </c>
      <c r="C2" s="13">
        <v>0.45</v>
      </c>
      <c r="D2" s="13">
        <v>0.93</v>
      </c>
      <c r="E2" s="13">
        <v>0.91</v>
      </c>
      <c r="F2" s="13">
        <f>C2/((D2*E2)^0.5)</f>
        <v>0.48915933209955009</v>
      </c>
      <c r="G2" s="13">
        <f>0.5*LN((1+F2)/(1-F2))</f>
        <v>0.53495464799398462</v>
      </c>
      <c r="H2" s="5">
        <f>B2-3</f>
        <v>96</v>
      </c>
      <c r="I2" s="13">
        <f>H2*G2</f>
        <v>51.355646207422524</v>
      </c>
      <c r="J2" s="13">
        <f>((1/H2)+$C$24)^-1</f>
        <v>9.6506076392093831</v>
      </c>
      <c r="K2" s="13">
        <f>J2*G2</f>
        <v>5.1626374125613141</v>
      </c>
      <c r="L2" s="41">
        <v>0</v>
      </c>
      <c r="M2" s="41">
        <v>3</v>
      </c>
      <c r="N2" s="42">
        <v>0.3</v>
      </c>
      <c r="P2">
        <f>H2*(G2-$C$19)^2</f>
        <v>0.63209785662557127</v>
      </c>
      <c r="Q2">
        <f>H2^2</f>
        <v>9216</v>
      </c>
    </row>
    <row r="3" spans="1:17" ht="18" x14ac:dyDescent="0.2">
      <c r="A3" s="41">
        <v>2</v>
      </c>
      <c r="B3" s="41">
        <v>200</v>
      </c>
      <c r="C3" s="42">
        <v>0.68</v>
      </c>
      <c r="D3" s="42">
        <v>1</v>
      </c>
      <c r="E3" s="42">
        <v>0.76</v>
      </c>
      <c r="F3" s="13">
        <f t="shared" ref="F3:F16" si="0">C3/((D3*E3)^0.5)</f>
        <v>0.78001349515991014</v>
      </c>
      <c r="G3" s="13">
        <f t="shared" ref="G3:G16" si="1">0.5*LN((1+F3)/(1-F3))</f>
        <v>1.0454050109864856</v>
      </c>
      <c r="H3" s="5">
        <f t="shared" ref="H3:H16" si="2">B3-3</f>
        <v>197</v>
      </c>
      <c r="I3" s="13">
        <f t="shared" ref="I3:I16" si="3">H3*G3</f>
        <v>205.94478716433767</v>
      </c>
      <c r="J3" s="13">
        <f t="shared" ref="J3:J16" si="4">((1/H3)+$C$24)^-1</f>
        <v>10.175021178136799</v>
      </c>
      <c r="K3" s="13">
        <f t="shared" ref="K3:K16" si="5">J3*G3</f>
        <v>10.637018126517825</v>
      </c>
      <c r="L3" s="41">
        <v>1</v>
      </c>
      <c r="M3" s="41">
        <v>1</v>
      </c>
      <c r="N3" s="42">
        <v>0</v>
      </c>
      <c r="P3">
        <f t="shared" ref="P3:P16" si="6">H3*(G3-$C$19)^2</f>
        <v>36.307874697674507</v>
      </c>
      <c r="Q3">
        <f t="shared" ref="Q3:Q16" si="7">H3^2</f>
        <v>38809</v>
      </c>
    </row>
    <row r="4" spans="1:17" ht="18" x14ac:dyDescent="0.2">
      <c r="A4" s="41">
        <v>3</v>
      </c>
      <c r="B4" s="41">
        <v>112</v>
      </c>
      <c r="C4" s="42">
        <v>0.46</v>
      </c>
      <c r="D4" s="42">
        <v>0.89</v>
      </c>
      <c r="E4" s="42">
        <v>0.89</v>
      </c>
      <c r="F4" s="13">
        <f t="shared" si="0"/>
        <v>0.5168539325842697</v>
      </c>
      <c r="G4" s="13">
        <f t="shared" si="1"/>
        <v>0.57203733137243351</v>
      </c>
      <c r="H4" s="5">
        <f t="shared" si="2"/>
        <v>109</v>
      </c>
      <c r="I4" s="13">
        <f t="shared" si="3"/>
        <v>62.352069119595249</v>
      </c>
      <c r="J4" s="13">
        <f t="shared" si="4"/>
        <v>9.7677174743955959</v>
      </c>
      <c r="K4" s="13">
        <f t="shared" si="5"/>
        <v>5.587499037653143</v>
      </c>
      <c r="L4" s="41">
        <v>0</v>
      </c>
      <c r="M4" s="41">
        <v>3</v>
      </c>
      <c r="N4" s="42">
        <v>0.55000000000000004</v>
      </c>
      <c r="P4">
        <f t="shared" si="6"/>
        <v>0.2116127918750195</v>
      </c>
      <c r="Q4">
        <f t="shared" si="7"/>
        <v>11881</v>
      </c>
    </row>
    <row r="5" spans="1:17" ht="18" x14ac:dyDescent="0.2">
      <c r="A5" s="41">
        <v>4</v>
      </c>
      <c r="B5" s="41">
        <v>98</v>
      </c>
      <c r="C5" s="42">
        <v>0.57999999999999996</v>
      </c>
      <c r="D5" s="42">
        <v>0.89</v>
      </c>
      <c r="E5" s="42">
        <v>0.96</v>
      </c>
      <c r="F5" s="13">
        <f t="shared" si="0"/>
        <v>0.62747636749147739</v>
      </c>
      <c r="G5" s="13">
        <f t="shared" si="1"/>
        <v>0.73724268722582009</v>
      </c>
      <c r="H5" s="5">
        <f t="shared" si="2"/>
        <v>95</v>
      </c>
      <c r="I5" s="13">
        <f t="shared" si="3"/>
        <v>70.038055286452902</v>
      </c>
      <c r="J5" s="13">
        <f t="shared" si="4"/>
        <v>9.6404063476366222</v>
      </c>
      <c r="K5" s="13">
        <f t="shared" si="5"/>
        <v>7.107319081680477</v>
      </c>
      <c r="L5" s="41">
        <v>1</v>
      </c>
      <c r="M5" s="41">
        <v>3</v>
      </c>
      <c r="N5" s="42">
        <v>0.45</v>
      </c>
      <c r="P5">
        <f t="shared" si="6"/>
        <v>1.3942078745214306</v>
      </c>
      <c r="Q5">
        <f t="shared" si="7"/>
        <v>9025</v>
      </c>
    </row>
    <row r="6" spans="1:17" ht="18" x14ac:dyDescent="0.2">
      <c r="A6" s="41">
        <v>5</v>
      </c>
      <c r="B6" s="41">
        <v>104</v>
      </c>
      <c r="C6" s="42">
        <v>0.49</v>
      </c>
      <c r="D6" s="42">
        <v>0.74</v>
      </c>
      <c r="E6" s="42">
        <v>0.88</v>
      </c>
      <c r="F6" s="13">
        <f t="shared" si="0"/>
        <v>0.60720995644334685</v>
      </c>
      <c r="G6" s="13">
        <f t="shared" si="1"/>
        <v>0.70448988979168981</v>
      </c>
      <c r="H6" s="5">
        <f t="shared" si="2"/>
        <v>101</v>
      </c>
      <c r="I6" s="13">
        <f t="shared" si="3"/>
        <v>71.153478868960676</v>
      </c>
      <c r="J6" s="13">
        <f t="shared" si="4"/>
        <v>9.6988749850335907</v>
      </c>
      <c r="K6" s="13">
        <f t="shared" si="5"/>
        <v>6.8327593693096915</v>
      </c>
      <c r="L6" s="41">
        <v>0</v>
      </c>
      <c r="M6" s="41">
        <v>3</v>
      </c>
      <c r="N6" s="42">
        <v>0.4</v>
      </c>
      <c r="P6">
        <f t="shared" si="6"/>
        <v>0.78911374110927623</v>
      </c>
      <c r="Q6">
        <f t="shared" si="7"/>
        <v>10201</v>
      </c>
    </row>
    <row r="7" spans="1:17" ht="18" x14ac:dyDescent="0.2">
      <c r="A7" s="41">
        <v>6</v>
      </c>
      <c r="B7" s="41">
        <v>300</v>
      </c>
      <c r="C7" s="42">
        <v>0.2</v>
      </c>
      <c r="D7" s="42">
        <v>0.9</v>
      </c>
      <c r="E7" s="42">
        <v>0.89</v>
      </c>
      <c r="F7" s="13">
        <f t="shared" si="0"/>
        <v>0.22346717438466362</v>
      </c>
      <c r="G7" s="13">
        <f t="shared" si="1"/>
        <v>0.2273025688711611</v>
      </c>
      <c r="H7" s="5">
        <f t="shared" si="2"/>
        <v>297</v>
      </c>
      <c r="I7" s="13">
        <f t="shared" si="3"/>
        <v>67.508862954734852</v>
      </c>
      <c r="J7" s="13">
        <f t="shared" si="4"/>
        <v>10.355101815777676</v>
      </c>
      <c r="K7" s="13">
        <f t="shared" si="5"/>
        <v>2.3537412436486904</v>
      </c>
      <c r="L7" s="41">
        <v>0</v>
      </c>
      <c r="M7" s="41">
        <v>2</v>
      </c>
      <c r="N7" s="42">
        <v>1</v>
      </c>
      <c r="P7">
        <f t="shared" si="6"/>
        <v>44.895235771790695</v>
      </c>
      <c r="Q7">
        <f t="shared" si="7"/>
        <v>88209</v>
      </c>
    </row>
    <row r="8" spans="1:17" ht="18" x14ac:dyDescent="0.2">
      <c r="A8" s="41">
        <v>7</v>
      </c>
      <c r="B8" s="41">
        <v>400</v>
      </c>
      <c r="C8" s="42">
        <v>0.64</v>
      </c>
      <c r="D8" s="42">
        <v>0.8</v>
      </c>
      <c r="E8" s="42">
        <v>0.93</v>
      </c>
      <c r="F8" s="13">
        <f t="shared" si="0"/>
        <v>0.74198223321626922</v>
      </c>
      <c r="G8" s="13">
        <f t="shared" si="1"/>
        <v>0.95487525611739665</v>
      </c>
      <c r="H8" s="5">
        <f t="shared" si="2"/>
        <v>397</v>
      </c>
      <c r="I8" s="13">
        <f t="shared" si="3"/>
        <v>379.08547667860648</v>
      </c>
      <c r="J8" s="13">
        <f t="shared" si="4"/>
        <v>10.446848997950223</v>
      </c>
      <c r="K8" s="13">
        <f t="shared" si="5"/>
        <v>9.9754376125374886</v>
      </c>
      <c r="L8" s="41">
        <v>1</v>
      </c>
      <c r="M8" s="41">
        <v>3</v>
      </c>
      <c r="N8" s="42">
        <v>0.2</v>
      </c>
      <c r="P8">
        <f t="shared" si="6"/>
        <v>45.563520788217637</v>
      </c>
      <c r="Q8">
        <f t="shared" si="7"/>
        <v>157609</v>
      </c>
    </row>
    <row r="9" spans="1:17" ht="18" x14ac:dyDescent="0.2">
      <c r="A9" s="41">
        <v>8</v>
      </c>
      <c r="B9" s="41">
        <v>100</v>
      </c>
      <c r="C9" s="42">
        <v>-0.1</v>
      </c>
      <c r="D9" s="42">
        <v>0.7</v>
      </c>
      <c r="E9" s="42">
        <v>0.76</v>
      </c>
      <c r="F9" s="13">
        <f t="shared" si="0"/>
        <v>-0.13710212427677046</v>
      </c>
      <c r="G9" s="13">
        <f t="shared" si="1"/>
        <v>-0.13797098052929282</v>
      </c>
      <c r="H9" s="5">
        <f t="shared" si="2"/>
        <v>97</v>
      </c>
      <c r="I9" s="13">
        <f t="shared" si="3"/>
        <v>-13.383185111341405</v>
      </c>
      <c r="J9" s="13">
        <f t="shared" si="4"/>
        <v>9.6606195430712667</v>
      </c>
      <c r="K9" s="13">
        <f t="shared" si="5"/>
        <v>-1.3328851508779915</v>
      </c>
      <c r="L9" s="41">
        <v>0</v>
      </c>
      <c r="M9" s="41">
        <v>2</v>
      </c>
      <c r="N9" s="42">
        <v>1</v>
      </c>
      <c r="P9">
        <f t="shared" si="6"/>
        <v>55.156241001191297</v>
      </c>
      <c r="Q9">
        <f t="shared" si="7"/>
        <v>9409</v>
      </c>
    </row>
    <row r="10" spans="1:17" ht="18" x14ac:dyDescent="0.2">
      <c r="A10" s="41">
        <v>9</v>
      </c>
      <c r="B10" s="41">
        <v>50</v>
      </c>
      <c r="C10" s="42">
        <v>-0.06</v>
      </c>
      <c r="D10" s="42">
        <v>0.65</v>
      </c>
      <c r="E10" s="42">
        <v>0.71</v>
      </c>
      <c r="F10" s="13">
        <f t="shared" si="0"/>
        <v>-8.8321288793649186E-2</v>
      </c>
      <c r="G10" s="13">
        <f t="shared" si="1"/>
        <v>-8.8552024180611796E-2</v>
      </c>
      <c r="H10" s="5">
        <f t="shared" si="2"/>
        <v>47</v>
      </c>
      <c r="I10" s="13">
        <f t="shared" si="3"/>
        <v>-4.1619451364887547</v>
      </c>
      <c r="J10" s="13">
        <f t="shared" si="4"/>
        <v>8.7351237420849568</v>
      </c>
      <c r="K10" s="13">
        <f t="shared" si="5"/>
        <v>-0.77351288882974334</v>
      </c>
      <c r="L10" s="41">
        <v>0</v>
      </c>
      <c r="M10" s="41">
        <v>3</v>
      </c>
      <c r="N10" s="42">
        <v>0.8</v>
      </c>
      <c r="P10">
        <f t="shared" si="6"/>
        <v>23.337032387361646</v>
      </c>
      <c r="Q10">
        <f t="shared" si="7"/>
        <v>2209</v>
      </c>
    </row>
    <row r="11" spans="1:17" ht="18" x14ac:dyDescent="0.2">
      <c r="A11" s="41">
        <v>10</v>
      </c>
      <c r="B11" s="41">
        <v>550</v>
      </c>
      <c r="C11" s="42">
        <v>0.4</v>
      </c>
      <c r="D11" s="42">
        <v>0.77</v>
      </c>
      <c r="E11" s="42">
        <v>0.67</v>
      </c>
      <c r="F11" s="13">
        <f t="shared" si="0"/>
        <v>0.55690001218392815</v>
      </c>
      <c r="G11" s="13">
        <f t="shared" si="1"/>
        <v>0.62832825040648188</v>
      </c>
      <c r="H11" s="5">
        <f t="shared" si="2"/>
        <v>547</v>
      </c>
      <c r="I11" s="13">
        <f t="shared" si="3"/>
        <v>343.69555297234558</v>
      </c>
      <c r="J11" s="13">
        <f t="shared" si="4"/>
        <v>10.522781779197368</v>
      </c>
      <c r="K11" s="13">
        <f t="shared" si="5"/>
        <v>6.6117610647322884</v>
      </c>
      <c r="L11" s="41">
        <v>0</v>
      </c>
      <c r="M11" s="41">
        <v>3</v>
      </c>
      <c r="N11" s="42">
        <v>0.52</v>
      </c>
      <c r="P11">
        <f t="shared" si="6"/>
        <v>8.1810732231827193E-2</v>
      </c>
      <c r="Q11">
        <f t="shared" si="7"/>
        <v>299209</v>
      </c>
    </row>
    <row r="12" spans="1:17" ht="18" x14ac:dyDescent="0.2">
      <c r="A12" s="41">
        <v>11</v>
      </c>
      <c r="B12" s="41">
        <v>250</v>
      </c>
      <c r="C12" s="42">
        <v>0.56000000000000005</v>
      </c>
      <c r="D12" s="42">
        <v>0.88</v>
      </c>
      <c r="E12" s="42">
        <v>0.98</v>
      </c>
      <c r="F12" s="13">
        <f t="shared" si="0"/>
        <v>0.60302268915552726</v>
      </c>
      <c r="G12" s="13">
        <f t="shared" si="1"/>
        <v>0.69788358958188623</v>
      </c>
      <c r="H12" s="5">
        <f t="shared" si="2"/>
        <v>247</v>
      </c>
      <c r="I12" s="13">
        <f t="shared" si="3"/>
        <v>172.37724662672591</v>
      </c>
      <c r="J12" s="13">
        <f t="shared" si="4"/>
        <v>10.282529507016045</v>
      </c>
      <c r="K12" s="13">
        <f t="shared" si="5"/>
        <v>7.1760086023380207</v>
      </c>
      <c r="L12" s="41">
        <v>1</v>
      </c>
      <c r="M12" s="41">
        <v>3</v>
      </c>
      <c r="N12" s="42">
        <v>0.48</v>
      </c>
      <c r="P12">
        <f t="shared" si="6"/>
        <v>1.652126857457118</v>
      </c>
      <c r="Q12">
        <f t="shared" si="7"/>
        <v>61009</v>
      </c>
    </row>
    <row r="13" spans="1:17" ht="18" x14ac:dyDescent="0.2">
      <c r="A13" s="41">
        <v>12</v>
      </c>
      <c r="B13" s="41">
        <v>130</v>
      </c>
      <c r="C13" s="42">
        <v>0.6</v>
      </c>
      <c r="D13" s="42">
        <v>0.92</v>
      </c>
      <c r="E13" s="42">
        <v>1</v>
      </c>
      <c r="F13" s="13">
        <f t="shared" si="0"/>
        <v>0.62554324217122426</v>
      </c>
      <c r="G13" s="13">
        <f t="shared" si="1"/>
        <v>0.73406050594649053</v>
      </c>
      <c r="H13" s="5">
        <f t="shared" si="2"/>
        <v>127</v>
      </c>
      <c r="I13" s="13">
        <f t="shared" si="3"/>
        <v>93.2256842552043</v>
      </c>
      <c r="J13" s="13">
        <f t="shared" si="4"/>
        <v>9.8933724630237894</v>
      </c>
      <c r="K13" s="13">
        <f t="shared" si="5"/>
        <v>7.2623339957243198</v>
      </c>
      <c r="L13" s="41">
        <v>1</v>
      </c>
      <c r="M13" s="41">
        <v>3</v>
      </c>
      <c r="N13" s="42">
        <v>0.5</v>
      </c>
      <c r="P13">
        <f t="shared" si="6"/>
        <v>1.767204264414548</v>
      </c>
      <c r="Q13">
        <f t="shared" si="7"/>
        <v>16129</v>
      </c>
    </row>
    <row r="14" spans="1:17" ht="18" x14ac:dyDescent="0.2">
      <c r="A14" s="41">
        <v>13</v>
      </c>
      <c r="B14" s="41">
        <v>210</v>
      </c>
      <c r="C14" s="42">
        <v>0.52</v>
      </c>
      <c r="D14" s="42">
        <v>0.95</v>
      </c>
      <c r="E14" s="42">
        <v>0.94</v>
      </c>
      <c r="F14" s="13">
        <f t="shared" si="0"/>
        <v>0.55027225268195068</v>
      </c>
      <c r="G14" s="13">
        <f t="shared" si="1"/>
        <v>0.61877172383312284</v>
      </c>
      <c r="H14" s="5">
        <f t="shared" si="2"/>
        <v>207</v>
      </c>
      <c r="I14" s="13">
        <f t="shared" si="3"/>
        <v>128.08574683345643</v>
      </c>
      <c r="J14" s="13">
        <f t="shared" si="4"/>
        <v>10.2004730109216</v>
      </c>
      <c r="K14" s="13">
        <f t="shared" si="5"/>
        <v>6.3117642688812037</v>
      </c>
      <c r="L14" s="41">
        <v>1</v>
      </c>
      <c r="M14" s="41">
        <v>3</v>
      </c>
      <c r="N14" s="42">
        <v>0.44</v>
      </c>
      <c r="P14">
        <f t="shared" si="6"/>
        <v>1.4790573816445152E-3</v>
      </c>
      <c r="Q14">
        <f t="shared" si="7"/>
        <v>42849</v>
      </c>
    </row>
    <row r="15" spans="1:17" ht="18" x14ac:dyDescent="0.2">
      <c r="A15" s="41">
        <v>14</v>
      </c>
      <c r="B15" s="41">
        <v>100</v>
      </c>
      <c r="C15" s="42">
        <v>-0.05</v>
      </c>
      <c r="D15" s="42">
        <v>1</v>
      </c>
      <c r="E15" s="42">
        <v>0.83</v>
      </c>
      <c r="F15" s="13">
        <f t="shared" si="0"/>
        <v>-5.4882129994845173E-2</v>
      </c>
      <c r="G15" s="13">
        <f t="shared" si="1"/>
        <v>-5.4937332332656678E-2</v>
      </c>
      <c r="H15" s="5">
        <f t="shared" si="2"/>
        <v>97</v>
      </c>
      <c r="I15" s="13">
        <f t="shared" si="3"/>
        <v>-5.3289212362676981</v>
      </c>
      <c r="J15" s="13">
        <f t="shared" si="4"/>
        <v>9.6606195430712667</v>
      </c>
      <c r="K15" s="13">
        <f t="shared" si="5"/>
        <v>-0.53072866637706406</v>
      </c>
      <c r="L15" s="41">
        <v>0</v>
      </c>
      <c r="M15" s="41">
        <v>3</v>
      </c>
      <c r="N15" s="42">
        <v>0.75</v>
      </c>
      <c r="P15">
        <f t="shared" si="6"/>
        <v>43.678063986866086</v>
      </c>
      <c r="Q15">
        <f t="shared" si="7"/>
        <v>9409</v>
      </c>
    </row>
    <row r="16" spans="1:17" ht="18" x14ac:dyDescent="0.2">
      <c r="A16" s="41">
        <v>15</v>
      </c>
      <c r="B16" s="41">
        <v>230</v>
      </c>
      <c r="C16" s="42">
        <v>0.6</v>
      </c>
      <c r="D16" s="42">
        <v>1</v>
      </c>
      <c r="E16" s="42">
        <v>1</v>
      </c>
      <c r="F16" s="13">
        <f t="shared" si="0"/>
        <v>0.6</v>
      </c>
      <c r="G16" s="13">
        <f t="shared" si="1"/>
        <v>0.69314718055994529</v>
      </c>
      <c r="H16" s="5">
        <f t="shared" si="2"/>
        <v>227</v>
      </c>
      <c r="I16" s="13">
        <f t="shared" si="3"/>
        <v>157.34440998710758</v>
      </c>
      <c r="J16" s="13">
        <f t="shared" si="4"/>
        <v>10.244952938542003</v>
      </c>
      <c r="K16" s="13">
        <f t="shared" si="5"/>
        <v>7.1012602443197155</v>
      </c>
      <c r="L16" s="41">
        <v>1</v>
      </c>
      <c r="M16" s="41">
        <v>1</v>
      </c>
      <c r="N16" s="42">
        <v>0.39</v>
      </c>
      <c r="P16">
        <f t="shared" si="6"/>
        <v>1.3475792874871397</v>
      </c>
      <c r="Q16">
        <f t="shared" si="7"/>
        <v>51529</v>
      </c>
    </row>
    <row r="17" spans="1:17" ht="18" x14ac:dyDescent="0.2">
      <c r="A17" s="29"/>
      <c r="B17" s="29"/>
      <c r="C17" s="29"/>
      <c r="D17" s="29"/>
      <c r="E17" s="29"/>
      <c r="F17" s="28"/>
      <c r="G17" s="28"/>
      <c r="H17" s="28">
        <f>SUM(H2:H16)</f>
        <v>2888</v>
      </c>
      <c r="I17" s="43">
        <f>SUM(I2:I16)</f>
        <v>1779.2929654708523</v>
      </c>
      <c r="J17" s="43">
        <f>SUM(J2:J16)</f>
        <v>148.93505096506823</v>
      </c>
      <c r="K17" s="43">
        <f>SUM(K2:K16)</f>
        <v>79.482413353819396</v>
      </c>
      <c r="L17" s="40"/>
      <c r="M17" s="40"/>
      <c r="N17" s="40"/>
      <c r="Q17">
        <f>SUM(Q2:Q16)</f>
        <v>816702</v>
      </c>
    </row>
    <row r="18" spans="1:17" ht="3" customHeight="1" x14ac:dyDescent="0.2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7" ht="18" x14ac:dyDescent="0.2">
      <c r="A19" s="46" t="s">
        <v>30</v>
      </c>
      <c r="B19" s="47"/>
      <c r="C19" s="45">
        <f>I17/H17</f>
        <v>0.61609867225445025</v>
      </c>
    </row>
    <row r="20" spans="1:17" ht="18" x14ac:dyDescent="0.2">
      <c r="A20" s="46" t="s">
        <v>16</v>
      </c>
      <c r="B20" s="47"/>
      <c r="C20" s="45">
        <f>SUM(P2:P16)</f>
        <v>256.81520109620539</v>
      </c>
    </row>
    <row r="21" spans="1:17" ht="18" hidden="1" x14ac:dyDescent="0.2">
      <c r="A21" s="46" t="s">
        <v>17</v>
      </c>
      <c r="B21" s="47"/>
      <c r="C21" s="45">
        <f>C20/14</f>
        <v>18.343942935443241</v>
      </c>
    </row>
    <row r="22" spans="1:17" ht="18" hidden="1" x14ac:dyDescent="0.2">
      <c r="A22" s="46" t="s">
        <v>18</v>
      </c>
      <c r="B22" s="47"/>
      <c r="C22" s="48">
        <f>(C21-1)/C21</f>
        <v>0.94548609295617403</v>
      </c>
    </row>
    <row r="23" spans="1:17" ht="18" hidden="1" x14ac:dyDescent="0.2">
      <c r="A23" s="46" t="s">
        <v>31</v>
      </c>
      <c r="B23" s="47"/>
      <c r="C23" s="45">
        <f>H17-(Q17/H17)</f>
        <v>2605.2084487534626</v>
      </c>
    </row>
    <row r="24" spans="1:17" ht="18" hidden="1" x14ac:dyDescent="0.2">
      <c r="A24" s="46" t="s">
        <v>32</v>
      </c>
      <c r="B24" s="47"/>
      <c r="C24" s="45">
        <f>(C20-14)/C23</f>
        <v>9.3203751589392911E-2</v>
      </c>
    </row>
    <row r="25" spans="1:17" ht="18" x14ac:dyDescent="0.2">
      <c r="A25" s="46" t="s">
        <v>35</v>
      </c>
      <c r="B25" s="47"/>
      <c r="C25" s="45">
        <f>K17/J17</f>
        <v>0.53367164303358983</v>
      </c>
    </row>
    <row r="26" spans="1:17" ht="18" x14ac:dyDescent="0.2">
      <c r="A26" s="46" t="s">
        <v>37</v>
      </c>
      <c r="B26" s="47"/>
      <c r="C26" s="45">
        <f>C25+1.96*(1/J17)^0.5</f>
        <v>0.69427610697852749</v>
      </c>
    </row>
    <row r="27" spans="1:17" ht="18" x14ac:dyDescent="0.2">
      <c r="A27" s="46" t="s">
        <v>38</v>
      </c>
      <c r="B27" s="47"/>
      <c r="C27" s="45">
        <f>C25-1.96*(1/J17)^0.5</f>
        <v>0.37306717908865217</v>
      </c>
    </row>
    <row r="28" spans="1:17" ht="18" x14ac:dyDescent="0.2">
      <c r="A28" s="46" t="s">
        <v>36</v>
      </c>
      <c r="B28" s="47"/>
      <c r="C28" s="45">
        <f>(EXP(2*C25)-1)/(EXP(2*C25)+1)</f>
        <v>0.48818270814009374</v>
      </c>
    </row>
    <row r="29" spans="1:17" ht="18" x14ac:dyDescent="0.2">
      <c r="A29" s="46" t="s">
        <v>39</v>
      </c>
      <c r="B29" s="47"/>
      <c r="C29" s="45">
        <f>(EXP(2*C26)-1)/(EXP(2*C26)+1)</f>
        <v>0.60072202353429338</v>
      </c>
    </row>
    <row r="30" spans="1:17" ht="18" x14ac:dyDescent="0.2">
      <c r="A30" s="46" t="s">
        <v>40</v>
      </c>
      <c r="B30" s="47"/>
      <c r="C30" s="45">
        <f t="shared" ref="C29:C30" si="8">(EXP(2*C27)-1)/(EXP(2*C27)+1)</f>
        <v>0.35667162481301967</v>
      </c>
    </row>
  </sheetData>
  <mergeCells count="12">
    <mergeCell ref="A25:B25"/>
    <mergeCell ref="A28:B28"/>
    <mergeCell ref="A26:B26"/>
    <mergeCell ref="A27:B27"/>
    <mergeCell ref="A29:B29"/>
    <mergeCell ref="A30:B30"/>
    <mergeCell ref="A19:B19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Hunter &amp; Schmidt</vt:lpstr>
      <vt:lpstr>Hedge and Colleagues (2)</vt:lpstr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2017-08-04T15:53:07Z</dcterms:created>
  <dcterms:modified xsi:type="dcterms:W3CDTF">2017-08-05T20:58:39Z</dcterms:modified>
</cp:coreProperties>
</file>